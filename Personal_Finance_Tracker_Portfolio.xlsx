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d06fc34584438c6/Documents/10alytic/PExcel project/"/>
    </mc:Choice>
  </mc:AlternateContent>
  <xr:revisionPtr revIDLastSave="2" documentId="13_ncr:1_{C9DD7792-E20E-4EEF-8018-7E66A2CC7CDD}" xr6:coauthVersionLast="47" xr6:coauthVersionMax="47" xr10:uidLastSave="{B74B59BE-D1B6-45D4-B8CA-75484A80AE06}"/>
  <bookViews>
    <workbookView xWindow="-108" yWindow="-108" windowWidth="23256" windowHeight="12456" tabRatio="500" xr2:uid="{00000000-000D-0000-FFFF-FFFF00000000}"/>
  </bookViews>
  <sheets>
    <sheet name="Dashboard" sheetId="1" r:id="rId1"/>
    <sheet name="Income" sheetId="2" r:id="rId2"/>
    <sheet name="Expenses" sheetId="3" r:id="rId3"/>
    <sheet name="Budget" sheetId="4" r:id="rId4"/>
    <sheet name="Savings" sheetId="5" r:id="rId5"/>
    <sheet name="Loans" sheetId="6" r:id="rId6"/>
    <sheet name="Goals" sheetId="7" r:id="rId7"/>
    <sheet name="Monthly Summary" sheetId="8" r:id="rId8"/>
    <sheet name="Categories" sheetId="9" r:id="rId9"/>
    <sheet name="READM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1" l="1"/>
  <c r="F15" i="8"/>
  <c r="F14" i="8"/>
  <c r="F13" i="8"/>
  <c r="F12" i="8"/>
  <c r="F11" i="8"/>
  <c r="F10" i="8"/>
  <c r="F9" i="8"/>
  <c r="F8" i="8"/>
  <c r="F7" i="8"/>
  <c r="F6" i="8"/>
  <c r="F5" i="8"/>
  <c r="F4" i="8"/>
  <c r="F200" i="7"/>
  <c r="D200" i="7"/>
  <c r="F199" i="7"/>
  <c r="D199" i="7"/>
  <c r="F198" i="7"/>
  <c r="D198" i="7"/>
  <c r="F197" i="7"/>
  <c r="D197" i="7"/>
  <c r="F196" i="7"/>
  <c r="D196" i="7"/>
  <c r="F195" i="7"/>
  <c r="D195" i="7"/>
  <c r="F194" i="7"/>
  <c r="D194" i="7"/>
  <c r="F193" i="7"/>
  <c r="D193" i="7"/>
  <c r="F192" i="7"/>
  <c r="D192" i="7"/>
  <c r="F191" i="7"/>
  <c r="D191" i="7"/>
  <c r="F190" i="7"/>
  <c r="D190" i="7"/>
  <c r="F189" i="7"/>
  <c r="D189" i="7"/>
  <c r="F188" i="7"/>
  <c r="D188" i="7"/>
  <c r="F187" i="7"/>
  <c r="D187" i="7"/>
  <c r="F186" i="7"/>
  <c r="D186" i="7"/>
  <c r="F185" i="7"/>
  <c r="D185" i="7"/>
  <c r="F184" i="7"/>
  <c r="D184" i="7"/>
  <c r="F183" i="7"/>
  <c r="D183" i="7"/>
  <c r="F182" i="7"/>
  <c r="D182" i="7"/>
  <c r="F181" i="7"/>
  <c r="D181" i="7"/>
  <c r="F180" i="7"/>
  <c r="D180" i="7"/>
  <c r="F179" i="7"/>
  <c r="D179" i="7"/>
  <c r="F178" i="7"/>
  <c r="D178" i="7"/>
  <c r="F177" i="7"/>
  <c r="D177" i="7"/>
  <c r="F176" i="7"/>
  <c r="D176" i="7"/>
  <c r="F175" i="7"/>
  <c r="D175" i="7"/>
  <c r="F174" i="7"/>
  <c r="D174" i="7"/>
  <c r="F173" i="7"/>
  <c r="D173" i="7"/>
  <c r="F172" i="7"/>
  <c r="D172" i="7"/>
  <c r="F171" i="7"/>
  <c r="D171" i="7"/>
  <c r="F170" i="7"/>
  <c r="D170" i="7"/>
  <c r="F169" i="7"/>
  <c r="D169" i="7"/>
  <c r="F168" i="7"/>
  <c r="D168" i="7"/>
  <c r="F167" i="7"/>
  <c r="D167" i="7"/>
  <c r="F166" i="7"/>
  <c r="D166" i="7"/>
  <c r="F165" i="7"/>
  <c r="D165" i="7"/>
  <c r="F164" i="7"/>
  <c r="D164" i="7"/>
  <c r="F163" i="7"/>
  <c r="D163" i="7"/>
  <c r="F162" i="7"/>
  <c r="D162" i="7"/>
  <c r="F161" i="7"/>
  <c r="D161" i="7"/>
  <c r="F160" i="7"/>
  <c r="D160" i="7"/>
  <c r="F159" i="7"/>
  <c r="D159" i="7"/>
  <c r="F158" i="7"/>
  <c r="D158" i="7"/>
  <c r="F157" i="7"/>
  <c r="D157" i="7"/>
  <c r="F156" i="7"/>
  <c r="D156" i="7"/>
  <c r="F155" i="7"/>
  <c r="D155" i="7"/>
  <c r="F154" i="7"/>
  <c r="D154" i="7"/>
  <c r="F153" i="7"/>
  <c r="D153" i="7"/>
  <c r="F152" i="7"/>
  <c r="D152" i="7"/>
  <c r="F151" i="7"/>
  <c r="D151" i="7"/>
  <c r="F150" i="7"/>
  <c r="D150" i="7"/>
  <c r="F149" i="7"/>
  <c r="D149" i="7"/>
  <c r="F148" i="7"/>
  <c r="D148" i="7"/>
  <c r="F147" i="7"/>
  <c r="D147" i="7"/>
  <c r="F146" i="7"/>
  <c r="D146" i="7"/>
  <c r="F145" i="7"/>
  <c r="D145" i="7"/>
  <c r="F144" i="7"/>
  <c r="D144" i="7"/>
  <c r="F143" i="7"/>
  <c r="D143" i="7"/>
  <c r="F142" i="7"/>
  <c r="D142" i="7"/>
  <c r="F141" i="7"/>
  <c r="D141" i="7"/>
  <c r="F140" i="7"/>
  <c r="D140" i="7"/>
  <c r="F139" i="7"/>
  <c r="D139" i="7"/>
  <c r="F138" i="7"/>
  <c r="D138" i="7"/>
  <c r="F137" i="7"/>
  <c r="D137" i="7"/>
  <c r="F136" i="7"/>
  <c r="D136" i="7"/>
  <c r="F135" i="7"/>
  <c r="D135" i="7"/>
  <c r="F134" i="7"/>
  <c r="D134" i="7"/>
  <c r="F133" i="7"/>
  <c r="D133" i="7"/>
  <c r="F132" i="7"/>
  <c r="D132" i="7"/>
  <c r="F131" i="7"/>
  <c r="D131" i="7"/>
  <c r="F130" i="7"/>
  <c r="D130" i="7"/>
  <c r="F129" i="7"/>
  <c r="D129" i="7"/>
  <c r="F128" i="7"/>
  <c r="D128" i="7"/>
  <c r="F127" i="7"/>
  <c r="D127" i="7"/>
  <c r="F126" i="7"/>
  <c r="D126" i="7"/>
  <c r="F125" i="7"/>
  <c r="D125" i="7"/>
  <c r="F124" i="7"/>
  <c r="D124" i="7"/>
  <c r="F123" i="7"/>
  <c r="D123" i="7"/>
  <c r="F122" i="7"/>
  <c r="D122" i="7"/>
  <c r="F121" i="7"/>
  <c r="D121" i="7"/>
  <c r="F120" i="7"/>
  <c r="D120" i="7"/>
  <c r="F119" i="7"/>
  <c r="D119" i="7"/>
  <c r="F118" i="7"/>
  <c r="D118" i="7"/>
  <c r="F117" i="7"/>
  <c r="D117" i="7"/>
  <c r="F116" i="7"/>
  <c r="D116" i="7"/>
  <c r="F115" i="7"/>
  <c r="D115" i="7"/>
  <c r="F114" i="7"/>
  <c r="D114" i="7"/>
  <c r="F113" i="7"/>
  <c r="D113" i="7"/>
  <c r="F112" i="7"/>
  <c r="D112" i="7"/>
  <c r="F111" i="7"/>
  <c r="D111" i="7"/>
  <c r="F110" i="7"/>
  <c r="D110" i="7"/>
  <c r="F109" i="7"/>
  <c r="D109" i="7"/>
  <c r="F108" i="7"/>
  <c r="D108" i="7"/>
  <c r="F107" i="7"/>
  <c r="D107" i="7"/>
  <c r="F106" i="7"/>
  <c r="D106" i="7"/>
  <c r="F105" i="7"/>
  <c r="D105" i="7"/>
  <c r="F104" i="7"/>
  <c r="D104" i="7"/>
  <c r="F103" i="7"/>
  <c r="D103" i="7"/>
  <c r="F102" i="7"/>
  <c r="D102" i="7"/>
  <c r="F101" i="7"/>
  <c r="D101" i="7"/>
  <c r="F100" i="7"/>
  <c r="D100" i="7"/>
  <c r="F99" i="7"/>
  <c r="D99" i="7"/>
  <c r="F98" i="7"/>
  <c r="D98" i="7"/>
  <c r="F97" i="7"/>
  <c r="D97" i="7"/>
  <c r="F96" i="7"/>
  <c r="D96" i="7"/>
  <c r="F95" i="7"/>
  <c r="D95" i="7"/>
  <c r="F94" i="7"/>
  <c r="D94" i="7"/>
  <c r="F93" i="7"/>
  <c r="D93" i="7"/>
  <c r="F92" i="7"/>
  <c r="D92" i="7"/>
  <c r="F91" i="7"/>
  <c r="D91" i="7"/>
  <c r="F90" i="7"/>
  <c r="D90" i="7"/>
  <c r="F89" i="7"/>
  <c r="D89" i="7"/>
  <c r="F88" i="7"/>
  <c r="D88" i="7"/>
  <c r="F87" i="7"/>
  <c r="D87" i="7"/>
  <c r="F86" i="7"/>
  <c r="D86" i="7"/>
  <c r="F85" i="7"/>
  <c r="D85" i="7"/>
  <c r="F84" i="7"/>
  <c r="D84" i="7"/>
  <c r="F83" i="7"/>
  <c r="D83" i="7"/>
  <c r="F82" i="7"/>
  <c r="D82" i="7"/>
  <c r="F81" i="7"/>
  <c r="D81" i="7"/>
  <c r="F80" i="7"/>
  <c r="D80" i="7"/>
  <c r="F79" i="7"/>
  <c r="D79" i="7"/>
  <c r="F78" i="7"/>
  <c r="D78" i="7"/>
  <c r="F77" i="7"/>
  <c r="D77" i="7"/>
  <c r="F76" i="7"/>
  <c r="D76" i="7"/>
  <c r="F75" i="7"/>
  <c r="D75" i="7"/>
  <c r="F74" i="7"/>
  <c r="D74" i="7"/>
  <c r="F73" i="7"/>
  <c r="D73" i="7"/>
  <c r="F72" i="7"/>
  <c r="D72" i="7"/>
  <c r="F71" i="7"/>
  <c r="D71" i="7"/>
  <c r="F70" i="7"/>
  <c r="D70" i="7"/>
  <c r="F69" i="7"/>
  <c r="D69" i="7"/>
  <c r="F68" i="7"/>
  <c r="D68" i="7"/>
  <c r="F67" i="7"/>
  <c r="D67" i="7"/>
  <c r="F66" i="7"/>
  <c r="D66" i="7"/>
  <c r="F65" i="7"/>
  <c r="D65" i="7"/>
  <c r="F64" i="7"/>
  <c r="D64" i="7"/>
  <c r="F63" i="7"/>
  <c r="D63" i="7"/>
  <c r="F62" i="7"/>
  <c r="D62" i="7"/>
  <c r="F61" i="7"/>
  <c r="D61" i="7"/>
  <c r="F60" i="7"/>
  <c r="D60" i="7"/>
  <c r="F59" i="7"/>
  <c r="D59" i="7"/>
  <c r="F58" i="7"/>
  <c r="D58" i="7"/>
  <c r="F57" i="7"/>
  <c r="D57" i="7"/>
  <c r="F56" i="7"/>
  <c r="D56" i="7"/>
  <c r="F55" i="7"/>
  <c r="D55" i="7"/>
  <c r="F54" i="7"/>
  <c r="D54" i="7"/>
  <c r="F53" i="7"/>
  <c r="D53" i="7"/>
  <c r="F52" i="7"/>
  <c r="D52" i="7"/>
  <c r="F51" i="7"/>
  <c r="D51" i="7"/>
  <c r="F50" i="7"/>
  <c r="D50" i="7"/>
  <c r="F49" i="7"/>
  <c r="D49" i="7"/>
  <c r="F48" i="7"/>
  <c r="D48" i="7"/>
  <c r="F47" i="7"/>
  <c r="D47" i="7"/>
  <c r="F46" i="7"/>
  <c r="D46" i="7"/>
  <c r="F45" i="7"/>
  <c r="D45" i="7"/>
  <c r="F44" i="7"/>
  <c r="D44" i="7"/>
  <c r="F43" i="7"/>
  <c r="D43" i="7"/>
  <c r="F42" i="7"/>
  <c r="D42" i="7"/>
  <c r="F41" i="7"/>
  <c r="D41" i="7"/>
  <c r="F40" i="7"/>
  <c r="D40" i="7"/>
  <c r="F39" i="7"/>
  <c r="D39" i="7"/>
  <c r="F38" i="7"/>
  <c r="D38" i="7"/>
  <c r="F37" i="7"/>
  <c r="D37" i="7"/>
  <c r="F36" i="7"/>
  <c r="D36" i="7"/>
  <c r="F35" i="7"/>
  <c r="D35" i="7"/>
  <c r="F34" i="7"/>
  <c r="D34" i="7"/>
  <c r="F33" i="7"/>
  <c r="D33" i="7"/>
  <c r="F32" i="7"/>
  <c r="D32" i="7"/>
  <c r="F31" i="7"/>
  <c r="D31" i="7"/>
  <c r="F30" i="7"/>
  <c r="D30" i="7"/>
  <c r="F29" i="7"/>
  <c r="D29" i="7"/>
  <c r="F28" i="7"/>
  <c r="D28" i="7"/>
  <c r="F27" i="7"/>
  <c r="D27" i="7"/>
  <c r="F26" i="7"/>
  <c r="D26" i="7"/>
  <c r="F25" i="7"/>
  <c r="D25" i="7"/>
  <c r="F24" i="7"/>
  <c r="D24" i="7"/>
  <c r="F23" i="7"/>
  <c r="D23" i="7"/>
  <c r="F22" i="7"/>
  <c r="D22" i="7"/>
  <c r="F21" i="7"/>
  <c r="D21" i="7"/>
  <c r="F20" i="7"/>
  <c r="D20" i="7"/>
  <c r="F19" i="7"/>
  <c r="D19" i="7"/>
  <c r="F18" i="7"/>
  <c r="D18" i="7"/>
  <c r="F17" i="7"/>
  <c r="D17" i="7"/>
  <c r="F16" i="7"/>
  <c r="D16" i="7"/>
  <c r="F15" i="7"/>
  <c r="D15" i="7"/>
  <c r="F14" i="7"/>
  <c r="D14" i="7"/>
  <c r="F13" i="7"/>
  <c r="D13" i="7"/>
  <c r="F12" i="7"/>
  <c r="D12" i="7"/>
  <c r="F11" i="7"/>
  <c r="D11" i="7"/>
  <c r="F10" i="7"/>
  <c r="D10" i="7"/>
  <c r="F9" i="7"/>
  <c r="D9" i="7"/>
  <c r="F8" i="7"/>
  <c r="D8" i="7"/>
  <c r="F7" i="7"/>
  <c r="D7" i="7"/>
  <c r="C6" i="7"/>
  <c r="D6" i="7" s="1"/>
  <c r="F6" i="7" s="1"/>
  <c r="F5" i="7"/>
  <c r="D5" i="7"/>
  <c r="C5" i="7"/>
  <c r="D4" i="7"/>
  <c r="F4" i="7" s="1"/>
  <c r="C4" i="7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E15" i="8" s="1"/>
  <c r="C17" i="4"/>
  <c r="B17" i="4"/>
  <c r="G15" i="8" s="1"/>
  <c r="L16" i="4"/>
  <c r="H16" i="4"/>
  <c r="C16" i="4"/>
  <c r="L15" i="4"/>
  <c r="C15" i="4"/>
  <c r="D14" i="4"/>
  <c r="C14" i="4"/>
  <c r="H13" i="4"/>
  <c r="D13" i="4"/>
  <c r="C13" i="4"/>
  <c r="L12" i="4"/>
  <c r="H12" i="4"/>
  <c r="C12" i="4"/>
  <c r="L11" i="4"/>
  <c r="C11" i="4"/>
  <c r="D10" i="4"/>
  <c r="C10" i="4"/>
  <c r="H9" i="4"/>
  <c r="D9" i="4"/>
  <c r="C9" i="4"/>
  <c r="L8" i="4"/>
  <c r="H8" i="4"/>
  <c r="C8" i="4"/>
  <c r="L7" i="4"/>
  <c r="C7" i="4"/>
  <c r="D6" i="4"/>
  <c r="C6" i="4"/>
  <c r="H5" i="4"/>
  <c r="D5" i="4"/>
  <c r="C5" i="4"/>
  <c r="L4" i="4"/>
  <c r="H4" i="4"/>
  <c r="C4" i="4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N16" i="4" s="1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15" i="8" s="1"/>
  <c r="D29" i="1"/>
  <c r="C29" i="1"/>
  <c r="B29" i="1"/>
  <c r="A29" i="1"/>
  <c r="D28" i="1"/>
  <c r="C28" i="1"/>
  <c r="B28" i="1"/>
  <c r="A28" i="1"/>
  <c r="D27" i="1"/>
  <c r="C27" i="1"/>
  <c r="B27" i="1"/>
  <c r="A27" i="1"/>
  <c r="C23" i="1"/>
  <c r="C22" i="1"/>
  <c r="B22" i="1"/>
  <c r="C21" i="1"/>
  <c r="C20" i="1"/>
  <c r="B20" i="1"/>
  <c r="C19" i="1"/>
  <c r="C18" i="1"/>
  <c r="B18" i="1"/>
  <c r="C17" i="1"/>
  <c r="C16" i="1"/>
  <c r="B16" i="1"/>
  <c r="C15" i="1"/>
  <c r="B15" i="1"/>
  <c r="C14" i="1"/>
  <c r="B14" i="1"/>
  <c r="C13" i="1"/>
  <c r="B13" i="1"/>
  <c r="C12" i="1"/>
  <c r="B12" i="1"/>
  <c r="C11" i="1"/>
  <c r="B11" i="1"/>
  <c r="K6" i="1"/>
  <c r="I6" i="1"/>
  <c r="C6" i="1"/>
  <c r="E6" i="1" l="1"/>
  <c r="I15" i="8"/>
  <c r="B21" i="1"/>
  <c r="B19" i="1"/>
  <c r="B17" i="1"/>
  <c r="B23" i="1"/>
  <c r="K5" i="4"/>
  <c r="G5" i="4"/>
  <c r="O4" i="4"/>
  <c r="K4" i="4"/>
  <c r="G4" i="4"/>
  <c r="L5" i="4"/>
  <c r="H6" i="4"/>
  <c r="H17" i="4" s="1"/>
  <c r="D7" i="4"/>
  <c r="L9" i="4"/>
  <c r="H10" i="4"/>
  <c r="D11" i="4"/>
  <c r="L13" i="4"/>
  <c r="H14" i="4"/>
  <c r="D15" i="4"/>
  <c r="L17" i="4"/>
  <c r="C24" i="1"/>
  <c r="D4" i="4"/>
  <c r="L6" i="4"/>
  <c r="H7" i="4"/>
  <c r="D8" i="4"/>
  <c r="L10" i="4"/>
  <c r="H11" i="4"/>
  <c r="D12" i="4"/>
  <c r="L14" i="4"/>
  <c r="H15" i="4"/>
  <c r="D16" i="4"/>
  <c r="O5" i="4"/>
  <c r="G6" i="4"/>
  <c r="K6" i="4"/>
  <c r="O6" i="4"/>
  <c r="G7" i="4"/>
  <c r="K7" i="4"/>
  <c r="O7" i="4"/>
  <c r="G8" i="4"/>
  <c r="K8" i="4"/>
  <c r="O8" i="4"/>
  <c r="G9" i="4"/>
  <c r="K9" i="4"/>
  <c r="O9" i="4"/>
  <c r="G10" i="4"/>
  <c r="K10" i="4"/>
  <c r="O10" i="4"/>
  <c r="G11" i="4"/>
  <c r="K11" i="4"/>
  <c r="O11" i="4"/>
  <c r="G12" i="4"/>
  <c r="K12" i="4"/>
  <c r="O12" i="4"/>
  <c r="G13" i="4"/>
  <c r="K13" i="4"/>
  <c r="O13" i="4"/>
  <c r="G14" i="4"/>
  <c r="K14" i="4"/>
  <c r="O14" i="4"/>
  <c r="G15" i="4"/>
  <c r="K15" i="4"/>
  <c r="O15" i="4"/>
  <c r="G16" i="4"/>
  <c r="K16" i="4"/>
  <c r="O16" i="4"/>
  <c r="B4" i="8"/>
  <c r="D4" i="8" s="1"/>
  <c r="B5" i="8"/>
  <c r="B6" i="8"/>
  <c r="B7" i="8"/>
  <c r="B8" i="8"/>
  <c r="D8" i="8" s="1"/>
  <c r="B9" i="8"/>
  <c r="B10" i="8"/>
  <c r="B11" i="8"/>
  <c r="B12" i="8"/>
  <c r="D12" i="8" s="1"/>
  <c r="B13" i="8"/>
  <c r="B14" i="8"/>
  <c r="C4" i="8"/>
  <c r="G4" i="8"/>
  <c r="H4" i="8" s="1"/>
  <c r="C5" i="8"/>
  <c r="G5" i="8"/>
  <c r="C6" i="8"/>
  <c r="G6" i="8"/>
  <c r="H6" i="8" s="1"/>
  <c r="C7" i="8"/>
  <c r="G7" i="8"/>
  <c r="C8" i="8"/>
  <c r="G8" i="8"/>
  <c r="H8" i="8" s="1"/>
  <c r="C9" i="8"/>
  <c r="G9" i="8"/>
  <c r="C10" i="8"/>
  <c r="G10" i="8"/>
  <c r="H10" i="8" s="1"/>
  <c r="C11" i="8"/>
  <c r="G11" i="8"/>
  <c r="C12" i="8"/>
  <c r="G12" i="8"/>
  <c r="H12" i="8" s="1"/>
  <c r="C13" i="8"/>
  <c r="G13" i="8"/>
  <c r="C14" i="8"/>
  <c r="G14" i="8"/>
  <c r="H14" i="8" s="1"/>
  <c r="C15" i="8"/>
  <c r="D15" i="8" s="1"/>
  <c r="E4" i="4"/>
  <c r="I4" i="4"/>
  <c r="M4" i="4"/>
  <c r="E5" i="4"/>
  <c r="P5" i="4" s="1"/>
  <c r="I5" i="4"/>
  <c r="M5" i="4"/>
  <c r="E6" i="4"/>
  <c r="I6" i="4"/>
  <c r="M6" i="4"/>
  <c r="E7" i="4"/>
  <c r="I7" i="4"/>
  <c r="M7" i="4"/>
  <c r="E8" i="4"/>
  <c r="I8" i="4"/>
  <c r="M8" i="4"/>
  <c r="E9" i="4"/>
  <c r="P9" i="4" s="1"/>
  <c r="I9" i="4"/>
  <c r="M9" i="4"/>
  <c r="E10" i="4"/>
  <c r="I10" i="4"/>
  <c r="M10" i="4"/>
  <c r="E11" i="4"/>
  <c r="I11" i="4"/>
  <c r="M11" i="4"/>
  <c r="E12" i="4"/>
  <c r="I12" i="4"/>
  <c r="M12" i="4"/>
  <c r="E13" i="4"/>
  <c r="P13" i="4" s="1"/>
  <c r="I13" i="4"/>
  <c r="M13" i="4"/>
  <c r="E14" i="4"/>
  <c r="I14" i="4"/>
  <c r="M14" i="4"/>
  <c r="E15" i="4"/>
  <c r="I15" i="4"/>
  <c r="M15" i="4"/>
  <c r="E16" i="4"/>
  <c r="I16" i="4"/>
  <c r="M16" i="4"/>
  <c r="F4" i="4"/>
  <c r="J4" i="4"/>
  <c r="N4" i="4"/>
  <c r="F5" i="4"/>
  <c r="J5" i="4"/>
  <c r="N5" i="4"/>
  <c r="F6" i="4"/>
  <c r="J6" i="4"/>
  <c r="N6" i="4"/>
  <c r="F7" i="4"/>
  <c r="J7" i="4"/>
  <c r="N7" i="4"/>
  <c r="F8" i="4"/>
  <c r="J8" i="4"/>
  <c r="N8" i="4"/>
  <c r="F9" i="4"/>
  <c r="J9" i="4"/>
  <c r="N9" i="4"/>
  <c r="F10" i="4"/>
  <c r="J10" i="4"/>
  <c r="N10" i="4"/>
  <c r="F11" i="4"/>
  <c r="J11" i="4"/>
  <c r="N11" i="4"/>
  <c r="F12" i="4"/>
  <c r="J12" i="4"/>
  <c r="N12" i="4"/>
  <c r="F13" i="4"/>
  <c r="J13" i="4"/>
  <c r="N13" i="4"/>
  <c r="F14" i="4"/>
  <c r="J14" i="4"/>
  <c r="N14" i="4"/>
  <c r="F15" i="4"/>
  <c r="J15" i="4"/>
  <c r="N15" i="4"/>
  <c r="F16" i="4"/>
  <c r="J16" i="4"/>
  <c r="E4" i="8"/>
  <c r="I4" i="8" s="1"/>
  <c r="E5" i="8"/>
  <c r="E6" i="8"/>
  <c r="I6" i="8" s="1"/>
  <c r="E7" i="8"/>
  <c r="I7" i="8" s="1"/>
  <c r="E8" i="8"/>
  <c r="E9" i="8"/>
  <c r="E10" i="8"/>
  <c r="I10" i="8" s="1"/>
  <c r="E11" i="8"/>
  <c r="I11" i="8" s="1"/>
  <c r="E12" i="8"/>
  <c r="E13" i="8"/>
  <c r="E14" i="8"/>
  <c r="I14" i="8" s="1"/>
  <c r="B24" i="1" l="1"/>
  <c r="I12" i="8"/>
  <c r="I8" i="8"/>
  <c r="R9" i="4"/>
  <c r="Q9" i="4"/>
  <c r="R5" i="4"/>
  <c r="Q5" i="4"/>
  <c r="R13" i="4"/>
  <c r="Q13" i="4"/>
  <c r="D5" i="8"/>
  <c r="P11" i="4"/>
  <c r="P10" i="4"/>
  <c r="P6" i="4"/>
  <c r="M17" i="4"/>
  <c r="P16" i="4"/>
  <c r="P12" i="4"/>
  <c r="P8" i="4"/>
  <c r="D17" i="4"/>
  <c r="P4" i="4"/>
  <c r="K17" i="4"/>
  <c r="F17" i="4"/>
  <c r="D13" i="8"/>
  <c r="H15" i="8"/>
  <c r="P7" i="4"/>
  <c r="I17" i="4"/>
  <c r="D11" i="8"/>
  <c r="D7" i="8"/>
  <c r="O17" i="4"/>
  <c r="D9" i="8"/>
  <c r="P15" i="4"/>
  <c r="G17" i="4"/>
  <c r="I13" i="8"/>
  <c r="I9" i="8"/>
  <c r="I5" i="8"/>
  <c r="P14" i="4"/>
  <c r="N17" i="4"/>
  <c r="J17" i="4"/>
  <c r="E17" i="4"/>
  <c r="H13" i="8"/>
  <c r="H11" i="8"/>
  <c r="H9" i="8"/>
  <c r="H7" i="8"/>
  <c r="H5" i="8"/>
  <c r="D14" i="8"/>
  <c r="D10" i="8"/>
  <c r="D6" i="8"/>
  <c r="G6" i="1"/>
  <c r="R14" i="4" l="1"/>
  <c r="Q14" i="4"/>
  <c r="R4" i="4"/>
  <c r="P17" i="4"/>
  <c r="R17" i="4" s="1"/>
  <c r="Q4" i="4"/>
  <c r="R16" i="4"/>
  <c r="Q16" i="4"/>
  <c r="R11" i="4"/>
  <c r="Q11" i="4"/>
  <c r="R15" i="4"/>
  <c r="Q15" i="4"/>
  <c r="R8" i="4"/>
  <c r="Q8" i="4"/>
  <c r="R6" i="4"/>
  <c r="Q6" i="4"/>
  <c r="R7" i="4"/>
  <c r="Q7" i="4"/>
  <c r="R12" i="4"/>
  <c r="Q12" i="4"/>
  <c r="R10" i="4"/>
  <c r="Q10" i="4"/>
  <c r="Q17" i="4" l="1"/>
</calcChain>
</file>

<file path=xl/sharedStrings.xml><?xml version="1.0" encoding="utf-8"?>
<sst xmlns="http://schemas.openxmlformats.org/spreadsheetml/2006/main" count="447" uniqueCount="167">
  <si>
    <t>Personal Finance Dashboard</t>
  </si>
  <si>
    <t>Selected Month</t>
  </si>
  <si>
    <t>Aug 2026</t>
  </si>
  <si>
    <t>Total Income</t>
  </si>
  <si>
    <t>Total Expenses</t>
  </si>
  <si>
    <t>Net Cash Flow</t>
  </si>
  <si>
    <t>Budget Variance</t>
  </si>
  <si>
    <t>Savings</t>
  </si>
  <si>
    <t>Loan Payments</t>
  </si>
  <si>
    <t>Expense Category</t>
  </si>
  <si>
    <t>Actual Spend</t>
  </si>
  <si>
    <t>Budget</t>
  </si>
  <si>
    <t>Rent</t>
  </si>
  <si>
    <t>Electricity/Security</t>
  </si>
  <si>
    <t>Internet/Airtime</t>
  </si>
  <si>
    <t>Transport</t>
  </si>
  <si>
    <t>Food</t>
  </si>
  <si>
    <t>Personal Care</t>
  </si>
  <si>
    <t>Healthcare</t>
  </si>
  <si>
    <t>Family Support</t>
  </si>
  <si>
    <t>Church Giving</t>
  </si>
  <si>
    <t>Charity</t>
  </si>
  <si>
    <t>Education</t>
  </si>
  <si>
    <t>Travel</t>
  </si>
  <si>
    <t>Miscellaneous</t>
  </si>
  <si>
    <t>Total</t>
  </si>
  <si>
    <t>Goal</t>
  </si>
  <si>
    <t>Target</t>
  </si>
  <si>
    <t>Saved</t>
  </si>
  <si>
    <t>Remaining</t>
  </si>
  <si>
    <t>Income Tracker</t>
  </si>
  <si>
    <t>Date</t>
  </si>
  <si>
    <t>Month</t>
  </si>
  <si>
    <t>Source</t>
  </si>
  <si>
    <t>Description</t>
  </si>
  <si>
    <t>Expected Date</t>
  </si>
  <si>
    <t>Amount</t>
  </si>
  <si>
    <t>Status</t>
  </si>
  <si>
    <t>Notes</t>
  </si>
  <si>
    <t>Salary</t>
  </si>
  <si>
    <t>Monthly salary</t>
  </si>
  <si>
    <t>11th</t>
  </si>
  <si>
    <t>Received</t>
  </si>
  <si>
    <t>Update status monthly</t>
  </si>
  <si>
    <t>Planned</t>
  </si>
  <si>
    <t>Commission</t>
  </si>
  <si>
    <t>Monthly commission</t>
  </si>
  <si>
    <t>15th</t>
  </si>
  <si>
    <t>Not guaranteed</t>
  </si>
  <si>
    <t>Expense Tracker</t>
  </si>
  <si>
    <t>Category</t>
  </si>
  <si>
    <t>Subcategory</t>
  </si>
  <si>
    <t>Payment Method</t>
  </si>
  <si>
    <t>Apartment</t>
  </si>
  <si>
    <t>Monthly rent</t>
  </si>
  <si>
    <t>Bank Transfer</t>
  </si>
  <si>
    <t>Paid</t>
  </si>
  <si>
    <t>Data</t>
  </si>
  <si>
    <t>Internet subscription</t>
  </si>
  <si>
    <t>Groceries</t>
  </si>
  <si>
    <t>Food and groceries</t>
  </si>
  <si>
    <t>Card</t>
  </si>
  <si>
    <t>Commute</t>
  </si>
  <si>
    <t>Cash</t>
  </si>
  <si>
    <t>Tithe/Offering</t>
  </si>
  <si>
    <t>Church giving</t>
  </si>
  <si>
    <t>Family</t>
  </si>
  <si>
    <t>Family support</t>
  </si>
  <si>
    <t>Utilities</t>
  </si>
  <si>
    <t>Electricity and security</t>
  </si>
  <si>
    <t>Personal</t>
  </si>
  <si>
    <t>Personal care</t>
  </si>
  <si>
    <t>Medical</t>
  </si>
  <si>
    <t>Support</t>
  </si>
  <si>
    <t>Learning</t>
  </si>
  <si>
    <t>Training/materials</t>
  </si>
  <si>
    <t>Local trip</t>
  </si>
  <si>
    <t>Others</t>
  </si>
  <si>
    <t>Monthly Budget Planner</t>
  </si>
  <si>
    <t>Monthly Budget</t>
  </si>
  <si>
    <t>Annual Budget</t>
  </si>
  <si>
    <t>Jul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</si>
  <si>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</si>
  <si>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</si>
  <si>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</si>
  <si>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</si>
  <si>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</si>
  <si>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</si>
  <si>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</si>
  <si>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</si>
  <si>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</si>
  <si>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</si>
  <si>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Year-to-Date Actual</t>
  </si>
  <si>
    <t>YTD Variance</t>
  </si>
  <si>
    <t>YTD % Used</t>
  </si>
  <si>
    <t>TOTAL</t>
  </si>
  <si>
    <t>Savings Tracker</t>
  </si>
  <si>
    <t>Savings Type</t>
  </si>
  <si>
    <t>Target/Account</t>
  </si>
  <si>
    <t>Emergency Fund</t>
  </si>
  <si>
    <t>Completed</t>
  </si>
  <si>
    <t>Loan Tracker</t>
  </si>
  <si>
    <t>Loan Name</t>
  </si>
  <si>
    <t>Lender</t>
  </si>
  <si>
    <t>Original Amount</t>
  </si>
  <si>
    <t>Interest Rate</t>
  </si>
  <si>
    <t>Start Date</t>
  </si>
  <si>
    <t>Due Date</t>
  </si>
  <si>
    <t>Payment Month</t>
  </si>
  <si>
    <t>Payment Amount</t>
  </si>
  <si>
    <t>Outstanding Balance</t>
  </si>
  <si>
    <t>Example Loan</t>
  </si>
  <si>
    <t>Lender Name</t>
  </si>
  <si>
    <t>Replace with your real loan</t>
  </si>
  <si>
    <t>Financial Goals Tracker</t>
  </si>
  <si>
    <t>Target Amount</t>
  </si>
  <si>
    <t>Current Saved</t>
  </si>
  <si>
    <t>Target Date</t>
  </si>
  <si>
    <t>Monthly Required</t>
  </si>
  <si>
    <t>In Progress</t>
  </si>
  <si>
    <t>Target based on 6 months of ₦740,000 monthly budget</t>
  </si>
  <si>
    <t>Laptop Upgrade</t>
  </si>
  <si>
    <t>Not Started</t>
  </si>
  <si>
    <t>Cybersecurity laptop target</t>
  </si>
  <si>
    <t>Training/Certification</t>
  </si>
  <si>
    <t>Professional development</t>
  </si>
  <si>
    <t>Monthly Summary</t>
  </si>
  <si>
    <t>Income</t>
  </si>
  <si>
    <t>Expenses</t>
  </si>
  <si>
    <t>Budgeted Expenses</t>
  </si>
  <si>
    <t>Savings Rate</t>
  </si>
  <si>
    <t>Income Sources</t>
  </si>
  <si>
    <t>Expense Categories</t>
  </si>
  <si>
    <t>Payment Methods</t>
  </si>
  <si>
    <t>Goal Status</t>
  </si>
  <si>
    <t>Months</t>
  </si>
  <si>
    <t>Trading</t>
  </si>
  <si>
    <t>Business</t>
  </si>
  <si>
    <t>POS</t>
  </si>
  <si>
    <t>Pending</t>
  </si>
  <si>
    <t>On Hold</t>
  </si>
  <si>
    <t>Gifts</t>
  </si>
  <si>
    <t>Mobile Money</t>
  </si>
  <si>
    <t>Other</t>
  </si>
  <si>
    <t>Direct Debit</t>
  </si>
  <si>
    <t>Overdue</t>
  </si>
  <si>
    <t>Cancelled</t>
  </si>
  <si>
    <t>Personal Finance Tracker - User Guide</t>
  </si>
  <si>
    <t>Purpose</t>
  </si>
  <si>
    <t>This workbook helps you monitor income, expenses, savings, loans, budgets, and financial goals from July 2026 to June 2027.</t>
  </si>
  <si>
    <t>How to use</t>
  </si>
  <si>
    <t>1. Update Income, Expenses, Savings, Loans, and Goals as transactions happen.</t>
  </si>
  <si>
    <t>2. Review Budget to compare planned monthly spending with actual expenses.</t>
  </si>
  <si>
    <t>3. Use Dashboard to select a month and review performance.</t>
  </si>
  <si>
    <t>4. Use Monthly Summary to track trends across the financial year.</t>
  </si>
  <si>
    <t>Important note</t>
  </si>
  <si>
    <t>Cells with formulas should not be overwritten unless you want to customize the tracker.</t>
  </si>
  <si>
    <t>Currency</t>
  </si>
  <si>
    <t>NGN (₦)</t>
  </si>
  <si>
    <t>Financial Year</t>
  </si>
  <si>
    <t>July 2026 to June 2027</t>
  </si>
  <si>
    <t>Included Sheets</t>
  </si>
  <si>
    <t>Dashboard, Income, Expenses, Budget, Savings, Loans, Goals, Monthly Summary, Categories, README</t>
  </si>
  <si>
    <t>Portfolio Note</t>
  </si>
  <si>
    <t>This workbook can be uploaded as an Excel project under your portfolio with dashboard screenshots added later.</t>
  </si>
  <si>
    <t>Contact section</t>
  </si>
  <si>
    <t>Add your email, LinkedIn, and portfolio link on your portfolio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</si>
</sst>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₦#,##0;[Red]&quot;-₦&quot;#,##0"/>
    <numFmt numFmtId="165" formatCode="yyyy\-mm\-dd"/>
  </numFmts>
  <fonts count="14" x14ac:knownFonts="1">
    <font>
      <sz val="10"/>
      <name val="Arial"/>
      <family val="2"/>
      <charset val="1"/>
    </font>
    <font>
      <b/>
      <sz val="18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1"/>
      <color rgb="FF166534"/>
      <name val="Calibri"/>
      <charset val="1"/>
    </font>
    <font>
      <b/>
      <sz val="11"/>
      <color rgb="FF991B1B"/>
      <name val="Calibri"/>
      <charset val="1"/>
    </font>
    <font>
      <b/>
      <sz val="11"/>
      <color rgb="FF1F4E78"/>
      <name val="Calibri"/>
      <charset val="1"/>
    </font>
    <font>
      <b/>
      <sz val="11"/>
      <color rgb="FF92400E"/>
      <name val="Calibri"/>
      <charset val="1"/>
    </font>
    <font>
      <b/>
      <sz val="18"/>
      <color rgb="FF166534"/>
      <name val="Calibri"/>
      <charset val="1"/>
    </font>
    <font>
      <b/>
      <sz val="18"/>
      <color rgb="FF991B1B"/>
      <name val="Calibri"/>
      <charset val="1"/>
    </font>
    <font>
      <b/>
      <sz val="18"/>
      <color rgb="FF1F4E78"/>
      <name val="Calibri"/>
      <charset val="1"/>
    </font>
    <font>
      <b/>
      <sz val="18"/>
      <color rgb="FF92400E"/>
      <name val="Calibri"/>
      <charset val="1"/>
    </font>
    <font>
      <b/>
      <sz val="11"/>
      <color rgb="FFFFFFFF"/>
      <name val="Calibri"/>
      <charset val="1"/>
    </font>
    <font>
      <b/>
      <sz val="16"/>
      <color rgb="FFFFFF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D9EAF7"/>
        <bgColor rgb="FFE5E7EB"/>
      </patternFill>
    </fill>
    <fill>
      <patternFill patternType="solid">
        <fgColor rgb="FFDCFCE7"/>
        <bgColor rgb="FFEFEFEF"/>
      </patternFill>
    </fill>
    <fill>
      <patternFill patternType="solid">
        <fgColor rgb="FFFEE2E2"/>
        <bgColor rgb="FFEFEFEF"/>
      </patternFill>
    </fill>
    <fill>
      <patternFill patternType="solid">
        <fgColor rgb="FFFEF3C7"/>
        <bgColor rgb="FFFEE2E2"/>
      </patternFill>
    </fill>
    <fill>
      <patternFill patternType="solid">
        <fgColor rgb="FFEFEFEF"/>
        <bgColor rgb="FFE5E7EB"/>
      </patternFill>
    </fill>
    <fill>
      <patternFill patternType="solid">
        <fgColor rgb="FF0F766E"/>
        <bgColor rgb="FF156082"/>
      </patternFill>
    </fill>
    <fill>
      <patternFill patternType="solid">
        <fgColor rgb="FFE5E7EB"/>
        <bgColor rgb="FFD9EA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7" borderId="1" xfId="0" applyFont="1" applyFill="1" applyBorder="1" applyAlignment="1">
      <alignment vertical="center"/>
    </xf>
    <xf numFmtId="164" fontId="3" fillId="7" borderId="1" xfId="0" applyNumberFormat="1" applyFont="1" applyFill="1" applyBorder="1" applyAlignment="1">
      <alignment vertical="center"/>
    </xf>
    <xf numFmtId="0" fontId="12" fillId="8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vertical="center"/>
    </xf>
    <xf numFmtId="0" fontId="3" fillId="9" borderId="0" xfId="0" applyFont="1" applyFill="1" applyAlignment="1">
      <alignment vertical="center"/>
    </xf>
    <xf numFmtId="9" fontId="3" fillId="9" borderId="0" xfId="0" applyNumberFormat="1" applyFont="1" applyFill="1" applyAlignment="1">
      <alignment vertical="center"/>
    </xf>
    <xf numFmtId="0" fontId="3" fillId="0" borderId="0" xfId="0" applyFont="1" applyAlignment="1">
      <alignment vertical="center" wrapText="1"/>
    </xf>
    <xf numFmtId="164" fontId="11" fillId="6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13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DC2626"/>
      </font>
      <fill>
        <patternFill>
          <bgColor rgb="FFFEE2E2"/>
        </patternFill>
      </fill>
    </dxf>
    <dxf>
      <font>
        <color rgb="FFDC2626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91B1B"/>
      <rgbColor rgb="FF196B24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9EAF7"/>
      <rgbColor rgb="FFE5E7EB"/>
      <rgbColor rgb="FFEFEFEF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E97132"/>
      <rgbColor rgb="FF666699"/>
      <rgbColor rgb="FFB0B0B0"/>
      <rgbColor rgb="FF003366"/>
      <rgbColor rgb="FF339966"/>
      <rgbColor rgb="FF003300"/>
      <rgbColor rgb="FF333300"/>
      <rgbColor rgb="FF92400E"/>
      <rgbColor rgb="FF993366"/>
      <rgbColor rgb="FF1F4E78"/>
      <rgbColor rgb="FF1665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Expense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Spend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Dashboard!$A$11:$A$23</c:f>
              <c:strCache>
                <c:ptCount val="13"/>
                <c:pt idx="0">
                  <c:v>Rent</c:v>
                </c:pt>
                <c:pt idx="1">
                  <c:v>Electricity/Security</c:v>
                </c:pt>
                <c:pt idx="2">
                  <c:v>Internet/Airtime</c:v>
                </c:pt>
                <c:pt idx="3">
                  <c:v>Transport</c:v>
                </c:pt>
                <c:pt idx="4">
                  <c:v>Food</c:v>
                </c:pt>
                <c:pt idx="5">
                  <c:v>Personal Care</c:v>
                </c:pt>
                <c:pt idx="6">
                  <c:v>Healthcare</c:v>
                </c:pt>
                <c:pt idx="7">
                  <c:v>Family Support</c:v>
                </c:pt>
                <c:pt idx="8">
                  <c:v>Church Giving</c:v>
                </c:pt>
                <c:pt idx="9">
                  <c:v>Charity</c:v>
                </c:pt>
                <c:pt idx="10">
                  <c:v>Education</c:v>
                </c:pt>
                <c:pt idx="11">
                  <c:v>Travel</c:v>
                </c:pt>
                <c:pt idx="12">
                  <c:v>Miscellaneous</c:v>
                </c:pt>
              </c:strCache>
            </c:strRef>
          </c:cat>
          <c:val>
            <c:numRef>
              <c:f>Dashboard!$B$11:$B$23</c:f>
              <c:numCache>
                <c:formatCode>General</c:formatCode>
                <c:ptCount val="13"/>
                <c:pt idx="0">
                  <c:v>100000</c:v>
                </c:pt>
                <c:pt idx="1">
                  <c:v>22000</c:v>
                </c:pt>
                <c:pt idx="2">
                  <c:v>35000</c:v>
                </c:pt>
                <c:pt idx="3">
                  <c:v>50000</c:v>
                </c:pt>
                <c:pt idx="4">
                  <c:v>105000</c:v>
                </c:pt>
                <c:pt idx="5">
                  <c:v>45000</c:v>
                </c:pt>
                <c:pt idx="6">
                  <c:v>30000</c:v>
                </c:pt>
                <c:pt idx="7">
                  <c:v>80000</c:v>
                </c:pt>
                <c:pt idx="8">
                  <c:v>120000</c:v>
                </c:pt>
                <c:pt idx="9">
                  <c:v>30000</c:v>
                </c:pt>
                <c:pt idx="10">
                  <c:v>25000</c:v>
                </c:pt>
                <c:pt idx="11">
                  <c:v>17000</c:v>
                </c:pt>
                <c:pt idx="1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C-4398-8FE9-DFBA69EB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5084"/>
        <c:axId val="30917242"/>
      </c:barChart>
      <c:catAx>
        <c:axId val="2466508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0917242"/>
        <c:crosses val="autoZero"/>
        <c:auto val="1"/>
        <c:lblAlgn val="ctr"/>
        <c:lblOffset val="100"/>
        <c:noMultiLvlLbl val="0"/>
      </c:catAx>
      <c:valAx>
        <c:axId val="3091724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46650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Income vs Expenses vs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Income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  <c:pt idx="6">
                  <c:v>Jan 2027</c:v>
                </c:pt>
                <c:pt idx="7">
                  <c:v>Feb 2027</c:v>
                </c:pt>
                <c:pt idx="8">
                  <c:v>Mar 2027</c:v>
                </c:pt>
                <c:pt idx="9">
                  <c:v>Apr 2027</c:v>
                </c:pt>
                <c:pt idx="10">
                  <c:v>May 2027</c:v>
                </c:pt>
                <c:pt idx="11">
                  <c:v>Jun 2027</c:v>
                </c:pt>
              </c:strCache>
            </c:strRef>
          </c:cat>
          <c:val>
            <c:numRef>
              <c:f>'Monthly Summary'!$B$4:$B$15</c:f>
              <c:numCache>
                <c:formatCode>General</c:formatCode>
                <c:ptCount val="12"/>
                <c:pt idx="0">
                  <c:v>1650000</c:v>
                </c:pt>
                <c:pt idx="1">
                  <c:v>1700000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7-4E59-ABC1-B5A6D5F97F0F}"/>
            </c:ext>
          </c:extLst>
        </c:ser>
        <c:ser>
          <c:idx val="1"/>
          <c:order val="1"/>
          <c:tx>
            <c:v>Expenses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  <c:pt idx="6">
                  <c:v>Jan 2027</c:v>
                </c:pt>
                <c:pt idx="7">
                  <c:v>Feb 2027</c:v>
                </c:pt>
                <c:pt idx="8">
                  <c:v>Mar 2027</c:v>
                </c:pt>
                <c:pt idx="9">
                  <c:v>Apr 2027</c:v>
                </c:pt>
                <c:pt idx="10">
                  <c:v>May 2027</c:v>
                </c:pt>
                <c:pt idx="11">
                  <c:v>Jun 2027</c:v>
                </c:pt>
              </c:strCache>
            </c:strRef>
          </c:cat>
          <c:val>
            <c:numRef>
              <c:f>'Monthly Summary'!$C$4:$C$15</c:f>
              <c:numCache>
                <c:formatCode>General</c:formatCode>
                <c:ptCount val="12"/>
                <c:pt idx="0">
                  <c:v>640000</c:v>
                </c:pt>
                <c:pt idx="1">
                  <c:v>674000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7-4E59-ABC1-B5A6D5F97F0F}"/>
            </c:ext>
          </c:extLst>
        </c:ser>
        <c:ser>
          <c:idx val="2"/>
          <c:order val="2"/>
          <c:tx>
            <c:v>Net Cash Flow</c:v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  <c:pt idx="6">
                  <c:v>Jan 2027</c:v>
                </c:pt>
                <c:pt idx="7">
                  <c:v>Feb 2027</c:v>
                </c:pt>
                <c:pt idx="8">
                  <c:v>Mar 2027</c:v>
                </c:pt>
                <c:pt idx="9">
                  <c:v>Apr 2027</c:v>
                </c:pt>
                <c:pt idx="10">
                  <c:v>May 2027</c:v>
                </c:pt>
                <c:pt idx="11">
                  <c:v>Jun 2027</c:v>
                </c:pt>
              </c:strCache>
            </c:strRef>
          </c:cat>
          <c:val>
            <c:numRef>
              <c:f>'Monthly Summary'!$D$4:$D$15</c:f>
              <c:numCache>
                <c:formatCode>General</c:formatCode>
                <c:ptCount val="12"/>
                <c:pt idx="0">
                  <c:v>1010000</c:v>
                </c:pt>
                <c:pt idx="1">
                  <c:v>1026000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7-4E59-ABC1-B5A6D5F97F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06495"/>
        <c:axId val="62787362"/>
      </c:lineChart>
      <c:catAx>
        <c:axId val="760649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2787362"/>
        <c:crosses val="autoZero"/>
        <c:auto val="1"/>
        <c:lblAlgn val="ctr"/>
        <c:lblOffset val="100"/>
        <c:noMultiLvlLbl val="0"/>
      </c:catAx>
      <c:valAx>
        <c:axId val="6278736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6064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Budget vs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Spend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Dashboard!$A$11:$A$23</c:f>
              <c:strCache>
                <c:ptCount val="13"/>
                <c:pt idx="0">
                  <c:v>Rent</c:v>
                </c:pt>
                <c:pt idx="1">
                  <c:v>Electricity/Security</c:v>
                </c:pt>
                <c:pt idx="2">
                  <c:v>Internet/Airtime</c:v>
                </c:pt>
                <c:pt idx="3">
                  <c:v>Transport</c:v>
                </c:pt>
                <c:pt idx="4">
                  <c:v>Food</c:v>
                </c:pt>
                <c:pt idx="5">
                  <c:v>Personal Care</c:v>
                </c:pt>
                <c:pt idx="6">
                  <c:v>Healthcare</c:v>
                </c:pt>
                <c:pt idx="7">
                  <c:v>Family Support</c:v>
                </c:pt>
                <c:pt idx="8">
                  <c:v>Church Giving</c:v>
                </c:pt>
                <c:pt idx="9">
                  <c:v>Charity</c:v>
                </c:pt>
                <c:pt idx="10">
                  <c:v>Education</c:v>
                </c:pt>
                <c:pt idx="11">
                  <c:v>Travel</c:v>
                </c:pt>
                <c:pt idx="12">
                  <c:v>Miscellaneous</c:v>
                </c:pt>
              </c:strCache>
            </c:strRef>
          </c:cat>
          <c:val>
            <c:numRef>
              <c:f>Dashboard!$B$11:$B$23</c:f>
              <c:numCache>
                <c:formatCode>General</c:formatCode>
                <c:ptCount val="13"/>
                <c:pt idx="0">
                  <c:v>100000</c:v>
                </c:pt>
                <c:pt idx="1">
                  <c:v>22000</c:v>
                </c:pt>
                <c:pt idx="2">
                  <c:v>35000</c:v>
                </c:pt>
                <c:pt idx="3">
                  <c:v>50000</c:v>
                </c:pt>
                <c:pt idx="4">
                  <c:v>105000</c:v>
                </c:pt>
                <c:pt idx="5">
                  <c:v>45000</c:v>
                </c:pt>
                <c:pt idx="6">
                  <c:v>30000</c:v>
                </c:pt>
                <c:pt idx="7">
                  <c:v>80000</c:v>
                </c:pt>
                <c:pt idx="8">
                  <c:v>120000</c:v>
                </c:pt>
                <c:pt idx="9">
                  <c:v>30000</c:v>
                </c:pt>
                <c:pt idx="10">
                  <c:v>25000</c:v>
                </c:pt>
                <c:pt idx="11">
                  <c:v>17000</c:v>
                </c:pt>
                <c:pt idx="1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C-4DFD-9A8B-4794487CA514}"/>
            </c:ext>
          </c:extLst>
        </c:ser>
        <c:ser>
          <c:idx val="1"/>
          <c:order val="1"/>
          <c:tx>
            <c:v>Budget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Dashboard!$A$11:$A$23</c:f>
              <c:strCache>
                <c:ptCount val="13"/>
                <c:pt idx="0">
                  <c:v>Rent</c:v>
                </c:pt>
                <c:pt idx="1">
                  <c:v>Electricity/Security</c:v>
                </c:pt>
                <c:pt idx="2">
                  <c:v>Internet/Airtime</c:v>
                </c:pt>
                <c:pt idx="3">
                  <c:v>Transport</c:v>
                </c:pt>
                <c:pt idx="4">
                  <c:v>Food</c:v>
                </c:pt>
                <c:pt idx="5">
                  <c:v>Personal Care</c:v>
                </c:pt>
                <c:pt idx="6">
                  <c:v>Healthcare</c:v>
                </c:pt>
                <c:pt idx="7">
                  <c:v>Family Support</c:v>
                </c:pt>
                <c:pt idx="8">
                  <c:v>Church Giving</c:v>
                </c:pt>
                <c:pt idx="9">
                  <c:v>Charity</c:v>
                </c:pt>
                <c:pt idx="10">
                  <c:v>Education</c:v>
                </c:pt>
                <c:pt idx="11">
                  <c:v>Travel</c:v>
                </c:pt>
                <c:pt idx="12">
                  <c:v>Miscellaneous</c:v>
                </c:pt>
              </c:strCache>
            </c:strRef>
          </c:cat>
          <c:val>
            <c:numRef>
              <c:f>Dashboard!$C$11:$C$23</c:f>
              <c:numCache>
                <c:formatCode>General</c:formatCode>
                <c:ptCount val="13"/>
                <c:pt idx="0">
                  <c:v>100000</c:v>
                </c:pt>
                <c:pt idx="1">
                  <c:v>20000</c:v>
                </c:pt>
                <c:pt idx="2">
                  <c:v>35000</c:v>
                </c:pt>
                <c:pt idx="3">
                  <c:v>50000</c:v>
                </c:pt>
                <c:pt idx="4">
                  <c:v>150000</c:v>
                </c:pt>
                <c:pt idx="5">
                  <c:v>50000</c:v>
                </c:pt>
                <c:pt idx="6">
                  <c:v>50000</c:v>
                </c:pt>
                <c:pt idx="7">
                  <c:v>80000</c:v>
                </c:pt>
                <c:pt idx="8">
                  <c:v>120000</c:v>
                </c:pt>
                <c:pt idx="9">
                  <c:v>30000</c:v>
                </c:pt>
                <c:pt idx="10">
                  <c:v>20000</c:v>
                </c:pt>
                <c:pt idx="11">
                  <c:v>20000</c:v>
                </c:pt>
                <c:pt idx="1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C-4DFD-9A8B-4794487CA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54938"/>
        <c:axId val="69087809"/>
      </c:barChart>
      <c:catAx>
        <c:axId val="6415493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9087809"/>
        <c:crosses val="autoZero"/>
        <c:auto val="1"/>
        <c:lblAlgn val="ctr"/>
        <c:lblOffset val="100"/>
        <c:noMultiLvlLbl val="0"/>
      </c:catAx>
      <c:valAx>
        <c:axId val="6908780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41549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160020</xdr:colOff>
      <xdr:row>8</xdr:row>
      <xdr:rowOff>7620</xdr:rowOff>
    </xdr:from>
    <xdr:to>
      <xdr:col>12</xdr:col>
      <xdr:colOff>30480</xdr:colOff>
      <xdr:row>24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175260</xdr:colOff>
      <xdr:row>24</xdr:row>
      <xdr:rowOff>167640</xdr:rowOff>
    </xdr:from>
    <xdr:to>
      <xdr:col>12</xdr:col>
      <xdr:colOff>83820</xdr:colOff>
      <xdr:row>46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32</xdr:row>
      <xdr:rowOff>146520</xdr:rowOff>
    </xdr:from>
    <xdr:to>
      <xdr:col>4</xdr:col>
      <xdr:colOff>38100</xdr:colOff>
      <xdr:row>46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IncomeTable" displayName="IncomeTable" ref="A3:H200" totalsRowShown="0">
  <tableColumns count="8">
    <tableColumn id="1" xr3:uid="{00000000-0010-0000-0000-000001000000}" name="Date"/>
    <tableColumn id="2" xr3:uid="{00000000-0010-0000-0000-000002000000}" name="Month"/>
    <tableColumn id="3" xr3:uid="{00000000-0010-0000-0000-000003000000}" name="Source"/>
    <tableColumn id="4" xr3:uid="{00000000-0010-0000-0000-000004000000}" name="Description"/>
    <tableColumn id="5" xr3:uid="{00000000-0010-0000-0000-000005000000}" name="Expected Date"/>
    <tableColumn id="6" xr3:uid="{00000000-0010-0000-0000-000006000000}" name="Amount"/>
    <tableColumn id="7" xr3:uid="{00000000-0010-0000-0000-000007000000}" name="Status"/>
    <tableColumn id="8" xr3:uid="{00000000-0010-0000-0000-000008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eTable" displayName="ExpenseTable" ref="A3:I500" totalsRowShown="0">
  <tableColumns count="9">
    <tableColumn id="1" xr3:uid="{00000000-0010-0000-0100-000001000000}" name="Date"/>
    <tableColumn id="2" xr3:uid="{00000000-0010-0000-0100-000002000000}" name="Month"/>
    <tableColumn id="3" xr3:uid="{00000000-0010-0000-0100-000003000000}" name="Category"/>
    <tableColumn id="4" xr3:uid="{00000000-0010-0000-0100-000004000000}" name="Subcategory"/>
    <tableColumn id="5" xr3:uid="{00000000-0010-0000-0100-000005000000}" name="Description"/>
    <tableColumn id="6" xr3:uid="{00000000-0010-0000-0100-000006000000}" name="Amount"/>
    <tableColumn id="7" xr3:uid="{00000000-0010-0000-0100-000007000000}" name="Payment Method"/>
    <tableColumn id="8" xr3:uid="{00000000-0010-0000-0100-000008000000}" name="Status"/>
    <tableColumn id="9" xr3:uid="{00000000-0010-0000-0100-000009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BudgetTable" displayName="BudgetTable" ref="A3:S17" totalsRowShown="0">
  <tableColumns count="19">
    <tableColumn id="1" xr3:uid="{00000000-0010-0000-0200-000001000000}" name="Category"/>
    <tableColumn id="2" xr3:uid="{00000000-0010-0000-0200-000002000000}" name="Monthly Budget"/>
    <tableColumn id="3" xr3:uid="{00000000-0010-0000-0200-000003000000}" name="Annual Budget"/>
    <tableColumn id="4" xr3:uid="{00000000-0010-0000-0200-000004000000}" name="Jul 2026"/>
    <tableColumn id="5" xr3:uid="{00000000-0010-0000-0200-000005000000}" name="Aug 2026"/>
    <tableColumn id="6" xr3:uid="{00000000-0010-0000-0200-000006000000}" name="Sep 2026"/>
    <tableColumn id="7" xr3:uid="{00000000-0010-0000-0200-000007000000}" name="Oct 2026"/>
    <tableColumn id="8" xr3:uid="{00000000-0010-0000-0200-000008000000}" name="Nov 2026"/>
    <tableColumn id="9" xr3:uid="{00000000-0010-0000-0200-000009000000}" name="Dec 2026"/>
    <tableColumn id="10" xr3:uid="{00000000-0010-0000-0200-00000A000000}" name="Jan 2027"/>
    <tableColumn id="11" xr3:uid="{00000000-0010-0000-0200-00000B000000}" name="Feb 2027"/>
    <tableColumn id="12" xr3:uid="{00000000-0010-0000-0200-00000C000000}" name="Mar 2027"/>
    <tableColumn id="13" xr3:uid="{00000000-0010-0000-0200-00000D000000}" name="Apr 2027"/>
    <tableColumn id="14" xr3:uid="{00000000-0010-0000-0200-00000E000000}" name="May 2027"/>
    <tableColumn id="15" xr3:uid="{00000000-0010-0000-0200-00000F000000}" name="Jun 2027"/>
    <tableColumn id="16" xr3:uid="{00000000-0010-0000-0200-000010000000}" name="Year-to-Date Actual"/>
    <tableColumn id="17" xr3:uid="{00000000-0010-0000-0200-000011000000}" name="YTD Variance"/>
    <tableColumn id="18" xr3:uid="{00000000-0010-0000-0200-000012000000}" name="YTD % Used"/>
    <tableColumn id="19" xr3:uid="{00000000-0010-0000-0200-000013000000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SavingsTable" displayName="SavingsTable" ref="A3:G200" totalsRowShown="0">
  <tableColumns count="7">
    <tableColumn id="1" xr3:uid="{00000000-0010-0000-0300-000001000000}" name="Date"/>
    <tableColumn id="2" xr3:uid="{00000000-0010-0000-0300-000002000000}" name="Month"/>
    <tableColumn id="3" xr3:uid="{00000000-0010-0000-0300-000003000000}" name="Savings Type"/>
    <tableColumn id="4" xr3:uid="{00000000-0010-0000-0300-000004000000}" name="Amount"/>
    <tableColumn id="5" xr3:uid="{00000000-0010-0000-0300-000005000000}" name="Target/Account"/>
    <tableColumn id="6" xr3:uid="{00000000-0010-0000-0300-000006000000}" name="Status"/>
    <tableColumn id="7" xr3:uid="{00000000-0010-0000-0300-000007000000}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oansTable" displayName="LoansTable" ref="A3:K200" totalsRowShown="0">
  <tableColumns count="11">
    <tableColumn id="1" xr3:uid="{00000000-0010-0000-0400-000001000000}" name="Loan Name"/>
    <tableColumn id="2" xr3:uid="{00000000-0010-0000-0400-000002000000}" name="Lender"/>
    <tableColumn id="3" xr3:uid="{00000000-0010-0000-0400-000003000000}" name="Original Amount"/>
    <tableColumn id="4" xr3:uid="{00000000-0010-0000-0400-000004000000}" name="Interest Rate"/>
    <tableColumn id="5" xr3:uid="{00000000-0010-0000-0400-000005000000}" name="Start Date"/>
    <tableColumn id="6" xr3:uid="{00000000-0010-0000-0400-000006000000}" name="Due Date"/>
    <tableColumn id="7" xr3:uid="{00000000-0010-0000-0400-000007000000}" name="Payment Month"/>
    <tableColumn id="8" xr3:uid="{00000000-0010-0000-0400-000008000000}" name="Payment Amount"/>
    <tableColumn id="9" xr3:uid="{00000000-0010-0000-0400-000009000000}" name="Status"/>
    <tableColumn id="10" xr3:uid="{00000000-0010-0000-0400-00000A000000}" name="Outstanding Balance"/>
    <tableColumn id="11" xr3:uid="{00000000-0010-0000-0400-00000B000000}" name="No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GoalsTable" displayName="GoalsTable" ref="A3:H200" totalsRowShown="0">
  <tableColumns count="8">
    <tableColumn id="1" xr3:uid="{00000000-0010-0000-0500-000001000000}" name="Goal"/>
    <tableColumn id="2" xr3:uid="{00000000-0010-0000-0500-000002000000}" name="Target Amount"/>
    <tableColumn id="3" xr3:uid="{00000000-0010-0000-0500-000003000000}" name="Current Saved"/>
    <tableColumn id="4" xr3:uid="{00000000-0010-0000-0500-000004000000}" name="Remaining"/>
    <tableColumn id="5" xr3:uid="{00000000-0010-0000-0500-000005000000}" name="Target Date"/>
    <tableColumn id="6" xr3:uid="{00000000-0010-0000-0500-000006000000}" name="Monthly Required"/>
    <tableColumn id="7" xr3:uid="{00000000-0010-0000-0500-000007000000}" name="Status"/>
    <tableColumn id="8" xr3:uid="{00000000-0010-0000-0500-000008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MonthlySummaryTable" displayName="MonthlySummaryTable" ref="A3:J15" totalsRowShown="0">
  <tableColumns count="10">
    <tableColumn id="1" xr3:uid="{00000000-0010-0000-0600-000001000000}" name="Month"/>
    <tableColumn id="2" xr3:uid="{00000000-0010-0000-0600-000002000000}" name="Income"/>
    <tableColumn id="3" xr3:uid="{00000000-0010-0000-0600-000003000000}" name="Expenses"/>
    <tableColumn id="4" xr3:uid="{00000000-0010-0000-0600-000004000000}" name="Net Cash Flow"/>
    <tableColumn id="5" xr3:uid="{00000000-0010-0000-0600-000005000000}" name="Savings"/>
    <tableColumn id="6" xr3:uid="{00000000-0010-0000-0600-000006000000}" name="Loan Payments"/>
    <tableColumn id="7" xr3:uid="{00000000-0010-0000-0600-000007000000}" name="Budgeted Expenses"/>
    <tableColumn id="8" xr3:uid="{00000000-0010-0000-0600-000008000000}" name="Budget Variance"/>
    <tableColumn id="9" xr3:uid="{00000000-0010-0000-0600-000009000000}" name="Savings Rate"/>
    <tableColumn id="10" xr3:uid="{00000000-0010-0000-0600-00000A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0"/>
  <sheetViews>
    <sheetView showGridLines="0" tabSelected="1" zoomScaleNormal="100" workbookViewId="0">
      <selection activeCell="B3" sqref="B3"/>
    </sheetView>
  </sheetViews>
  <sheetFormatPr defaultColWidth="8.6640625" defaultRowHeight="13.2" x14ac:dyDescent="0.25"/>
  <cols>
    <col min="1" max="1" width="25" customWidth="1"/>
    <col min="2" max="2" width="17" customWidth="1"/>
    <col min="3" max="3" width="32.33203125" customWidth="1"/>
    <col min="4" max="4" width="2.33203125" customWidth="1"/>
    <col min="5" max="14" width="16" customWidth="1"/>
  </cols>
  <sheetData>
    <row r="1" spans="1:26" ht="21.7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2" t="s">
        <v>1</v>
      </c>
      <c r="B3" s="2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17" t="s">
        <v>3</v>
      </c>
      <c r="B5" s="17"/>
      <c r="C5" s="18" t="s">
        <v>4</v>
      </c>
      <c r="D5" s="18"/>
      <c r="E5" s="19" t="s">
        <v>5</v>
      </c>
      <c r="F5" s="19"/>
      <c r="G5" s="20" t="s">
        <v>6</v>
      </c>
      <c r="H5" s="20"/>
      <c r="I5" s="17" t="s">
        <v>7</v>
      </c>
      <c r="J5" s="17"/>
      <c r="K5" s="20" t="s">
        <v>8</v>
      </c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 x14ac:dyDescent="0.25">
      <c r="A6" s="13">
        <f>SUMIFS(Income!$F$4:$F$200,Income!$B$4:$B$200,$B$3,Income!$G$4:$G$200,"Received")</f>
        <v>1700000</v>
      </c>
      <c r="B6" s="13"/>
      <c r="C6" s="14">
        <f>SUMIFS(Expenses!$F$4:$F$500,Expenses!$B$4:$B$500,$B$3,Expenses!$H$4:$H$500,"Paid")</f>
        <v>674000</v>
      </c>
      <c r="D6" s="14"/>
      <c r="E6" s="15">
        <f>A6-C6</f>
        <v>1026000</v>
      </c>
      <c r="F6" s="15"/>
      <c r="G6" s="12">
        <f>SUM(C11:C23)-SUM(B11:B23)</f>
        <v>66000</v>
      </c>
      <c r="H6" s="12"/>
      <c r="I6" s="13">
        <f>SUMIFS(Savings!$D$4:$D$200,Savings!$B$4:$B$200,$B$3,Savings!$F$4:$F$200,"Completed")</f>
        <v>300000</v>
      </c>
      <c r="J6" s="13"/>
      <c r="K6" s="12">
        <f>SUMIFS(Loans!$H$4:$H$200,Loans!$G$4:$G$200,$B$3,Loans!$I$4:$I$200,"Paid")</f>
        <v>50000</v>
      </c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5">
      <c r="A7" s="13"/>
      <c r="B7" s="13"/>
      <c r="C7" s="14"/>
      <c r="D7" s="14"/>
      <c r="E7" s="15"/>
      <c r="F7" s="15"/>
      <c r="G7" s="12"/>
      <c r="H7" s="12"/>
      <c r="I7" s="13"/>
      <c r="J7" s="13"/>
      <c r="K7" s="12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3" t="s">
        <v>9</v>
      </c>
      <c r="B10" s="3" t="s">
        <v>10</v>
      </c>
      <c r="C10" s="3" t="s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4" t="s">
        <v>12</v>
      </c>
      <c r="B11" s="4">
        <f>SUMIFS(Expenses!$F$4:$F$500,Expenses!$B$4:$B$500,$B$3,Expenses!$C$4:$C$500,A11,Expenses!$H$4:$H$500,"Paid")</f>
        <v>100000</v>
      </c>
      <c r="C11" s="4">
        <f>SUMIFS(Budget!$B:$B,Budget!$A:$A,A11)</f>
        <v>100000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4" t="s">
        <v>13</v>
      </c>
      <c r="B12" s="4">
        <f>SUMIFS(Expenses!$F$4:$F$500,Expenses!$B$4:$B$500,$B$3,Expenses!$C$4:$C$500,A12,Expenses!$H$4:$H$500,"Paid")</f>
        <v>22000</v>
      </c>
      <c r="C12" s="4">
        <f>SUMIFS(Budget!$B:$B,Budget!$A:$A,A12)</f>
        <v>20000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4" t="s">
        <v>14</v>
      </c>
      <c r="B13" s="4">
        <f>SUMIFS(Expenses!$F$4:$F$500,Expenses!$B$4:$B$500,$B$3,Expenses!$C$4:$C$500,A13,Expenses!$H$4:$H$500,"Paid")</f>
        <v>35000</v>
      </c>
      <c r="C13" s="4">
        <f>SUMIFS(Budget!$B:$B,Budget!$A:$A,A13)</f>
        <v>35000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4" t="s">
        <v>15</v>
      </c>
      <c r="B14" s="4">
        <f>SUMIFS(Expenses!$F$4:$F$500,Expenses!$B$4:$B$500,$B$3,Expenses!$C$4:$C$500,A14,Expenses!$H$4:$H$500,"Paid")</f>
        <v>50000</v>
      </c>
      <c r="C14" s="4">
        <f>SUMIFS(Budget!$B:$B,Budget!$A:$A,A14)</f>
        <v>50000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4" t="s">
        <v>16</v>
      </c>
      <c r="B15" s="4">
        <f>SUMIFS(Expenses!$F$4:$F$500,Expenses!$B$4:$B$500,$B$3,Expenses!$C$4:$C$500,A15,Expenses!$H$4:$H$500,"Paid")</f>
        <v>105000</v>
      </c>
      <c r="C15" s="4">
        <f>SUMIFS(Budget!$B:$B,Budget!$A:$A,A15)</f>
        <v>150000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4" t="s">
        <v>17</v>
      </c>
      <c r="B16" s="4">
        <f>SUMIFS(Expenses!$F$4:$F$500,Expenses!$B$4:$B$500,$B$3,Expenses!$C$4:$C$500,A16,Expenses!$H$4:$H$500,"Paid")</f>
        <v>45000</v>
      </c>
      <c r="C16" s="4">
        <f>SUMIFS(Budget!$B:$B,Budget!$A:$A,A16)</f>
        <v>50000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4" t="s">
        <v>18</v>
      </c>
      <c r="B17" s="4">
        <f>SUMIFS(Expenses!$F$4:$F$500,Expenses!$B$4:$B$500,$B$3,Expenses!$C$4:$C$500,A17,Expenses!$H$4:$H$500,"Paid")</f>
        <v>30000</v>
      </c>
      <c r="C17" s="4">
        <f>SUMIFS(Budget!$B:$B,Budget!$A:$A,A17)</f>
        <v>50000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4" t="s">
        <v>19</v>
      </c>
      <c r="B18" s="4">
        <f>SUMIFS(Expenses!$F$4:$F$500,Expenses!$B$4:$B$500,$B$3,Expenses!$C$4:$C$500,A18,Expenses!$H$4:$H$500,"Paid")</f>
        <v>80000</v>
      </c>
      <c r="C18" s="4">
        <f>SUMIFS(Budget!$B:$B,Budget!$A:$A,A18)</f>
        <v>80000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4" t="s">
        <v>20</v>
      </c>
      <c r="B19" s="4">
        <f>SUMIFS(Expenses!$F$4:$F$500,Expenses!$B$4:$B$500,$B$3,Expenses!$C$4:$C$500,A19,Expenses!$H$4:$H$500,"Paid")</f>
        <v>120000</v>
      </c>
      <c r="C19" s="4">
        <f>SUMIFS(Budget!$B:$B,Budget!$A:$A,A19)</f>
        <v>120000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4" t="s">
        <v>21</v>
      </c>
      <c r="B20" s="4">
        <f>SUMIFS(Expenses!$F$4:$F$500,Expenses!$B$4:$B$500,$B$3,Expenses!$C$4:$C$500,A20,Expenses!$H$4:$H$500,"Paid")</f>
        <v>30000</v>
      </c>
      <c r="C20" s="4">
        <f>SUMIFS(Budget!$B:$B,Budget!$A:$A,A20)</f>
        <v>30000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4" t="s">
        <v>22</v>
      </c>
      <c r="B21" s="4">
        <f>SUMIFS(Expenses!$F$4:$F$500,Expenses!$B$4:$B$500,$B$3,Expenses!$C$4:$C$500,A21,Expenses!$H$4:$H$500,"Paid")</f>
        <v>25000</v>
      </c>
      <c r="C21" s="4">
        <f>SUMIFS(Budget!$B:$B,Budget!$A:$A,A21)</f>
        <v>20000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4" t="s">
        <v>23</v>
      </c>
      <c r="B22" s="4">
        <f>SUMIFS(Expenses!$F$4:$F$500,Expenses!$B$4:$B$500,$B$3,Expenses!$C$4:$C$500,A22,Expenses!$H$4:$H$500,"Paid")</f>
        <v>17000</v>
      </c>
      <c r="C22" s="4">
        <f>SUMIFS(Budget!$B:$B,Budget!$A:$A,A22)</f>
        <v>20000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4" t="s">
        <v>24</v>
      </c>
      <c r="B23" s="4">
        <f>SUMIFS(Expenses!$F$4:$F$500,Expenses!$B$4:$B$500,$B$3,Expenses!$C$4:$C$500,A23,Expenses!$H$4:$H$500,"Paid")</f>
        <v>15000</v>
      </c>
      <c r="C23" s="4">
        <f>SUMIFS(Budget!$B:$B,Budget!$A:$A,A23)</f>
        <v>15000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5" t="s">
        <v>25</v>
      </c>
      <c r="B24" s="6">
        <f>SUM(B11:B23)</f>
        <v>674000</v>
      </c>
      <c r="C24" s="6">
        <f>SUM(C11:C23)</f>
        <v>740000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3" t="s">
        <v>26</v>
      </c>
      <c r="B26" s="3" t="s">
        <v>27</v>
      </c>
      <c r="C26" s="3" t="s">
        <v>28</v>
      </c>
      <c r="D26" s="3" t="s">
        <v>29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 t="str">
        <f>Goals!A4</f>
        <v>Emergency Fund</v>
      </c>
      <c r="B27" s="1">
        <f>Goals!B4</f>
        <v>4440000</v>
      </c>
      <c r="C27" s="1">
        <f>Goals!C4</f>
        <v>600000</v>
      </c>
      <c r="D27" s="1">
        <f>Goals!D4</f>
        <v>3840000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 t="str">
        <f>Goals!A5</f>
        <v>Laptop Upgrade</v>
      </c>
      <c r="B28" s="1">
        <f>Goals!B5</f>
        <v>700000</v>
      </c>
      <c r="C28" s="1">
        <f>Goals!C5</f>
        <v>0</v>
      </c>
      <c r="D28" s="1">
        <f>Goals!D5</f>
        <v>700000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 t="str">
        <f>Goals!A6</f>
        <v>Training/Certification</v>
      </c>
      <c r="B29" s="1">
        <f>Goals!B6</f>
        <v>300000</v>
      </c>
      <c r="C29" s="1">
        <f>Goals!C6</f>
        <v>0</v>
      </c>
      <c r="D29" s="1">
        <f>Goals!D6</f>
        <v>300000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3">
    <mergeCell ref="A1:N1"/>
    <mergeCell ref="A5:B5"/>
    <mergeCell ref="C5:D5"/>
    <mergeCell ref="E5:F5"/>
    <mergeCell ref="G5:H5"/>
    <mergeCell ref="I5:J5"/>
    <mergeCell ref="K5:L5"/>
    <mergeCell ref="K6:L7"/>
    <mergeCell ref="A6:B7"/>
    <mergeCell ref="C6:D7"/>
    <mergeCell ref="E6:F7"/>
    <mergeCell ref="G6:H7"/>
    <mergeCell ref="I6:J7"/>
  </mergeCells>
  <conditionalFormatting sqref="E6:H7">
    <cfRule type="expression" dxfId="1" priority="2">
      <formula>E6&lt;0</formula>
    </cfRule>
  </conditionalFormatting>
  <pageMargins left="0.7" right="0.7" top="0.75" bottom="0.75" header="0.511811023622047" footer="0.511811023622047"/>
  <pageSetup paperSize="9"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Categories!$K$2:$K$13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zoomScaleNormal="100" workbookViewId="0">
      <selection activeCell="E33" sqref="E33"/>
    </sheetView>
  </sheetViews>
  <sheetFormatPr defaultColWidth="8.6640625" defaultRowHeight="13.2" x14ac:dyDescent="0.25"/>
  <cols>
    <col min="1" max="3" width="17" customWidth="1"/>
    <col min="4" max="4" width="28" customWidth="1"/>
    <col min="5" max="7" width="17" customWidth="1"/>
    <col min="8" max="8" width="28" customWidth="1"/>
  </cols>
  <sheetData>
    <row r="1" spans="1:26" ht="19.5" customHeight="1" x14ac:dyDescent="0.25">
      <c r="A1" s="21" t="s">
        <v>30</v>
      </c>
      <c r="B1" s="21"/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 t="s">
        <v>37</v>
      </c>
      <c r="H3" s="7" t="s">
        <v>38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>
        <v>46214</v>
      </c>
      <c r="B4" s="1" t="str">
        <f t="shared" ref="B4:B35" si="0">IF(A4="","",TEXT(A4,"mmm yyyy"))</f>
        <v>Jul 2026</v>
      </c>
      <c r="C4" s="1" t="s">
        <v>39</v>
      </c>
      <c r="D4" s="1" t="s">
        <v>40</v>
      </c>
      <c r="E4" s="1" t="s">
        <v>41</v>
      </c>
      <c r="F4" s="1">
        <v>1400000</v>
      </c>
      <c r="G4" s="1" t="s">
        <v>42</v>
      </c>
      <c r="H4" s="1" t="s">
        <v>43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>
        <v>46245</v>
      </c>
      <c r="B5" s="1" t="str">
        <f t="shared" si="0"/>
        <v>Aug 2026</v>
      </c>
      <c r="C5" s="1" t="s">
        <v>39</v>
      </c>
      <c r="D5" s="1" t="s">
        <v>40</v>
      </c>
      <c r="E5" s="1" t="s">
        <v>41</v>
      </c>
      <c r="F5" s="1">
        <v>1400000</v>
      </c>
      <c r="G5" s="1" t="s">
        <v>42</v>
      </c>
      <c r="H5" s="1" t="s">
        <v>43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>
        <v>46276</v>
      </c>
      <c r="B6" s="1" t="str">
        <f t="shared" si="0"/>
        <v>Sep 2026</v>
      </c>
      <c r="C6" s="1" t="s">
        <v>39</v>
      </c>
      <c r="D6" s="1" t="s">
        <v>40</v>
      </c>
      <c r="E6" s="1" t="s">
        <v>41</v>
      </c>
      <c r="F6" s="1">
        <v>1400000</v>
      </c>
      <c r="G6" s="1" t="s">
        <v>44</v>
      </c>
      <c r="H6" s="1" t="s">
        <v>43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>
        <v>46306</v>
      </c>
      <c r="B7" s="1" t="str">
        <f t="shared" si="0"/>
        <v>Oct 2026</v>
      </c>
      <c r="C7" s="1" t="s">
        <v>39</v>
      </c>
      <c r="D7" s="1" t="s">
        <v>40</v>
      </c>
      <c r="E7" s="1" t="s">
        <v>41</v>
      </c>
      <c r="F7" s="1">
        <v>1400000</v>
      </c>
      <c r="G7" s="1" t="s">
        <v>44</v>
      </c>
      <c r="H7" s="1" t="s">
        <v>43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>
        <v>46337</v>
      </c>
      <c r="B8" s="1" t="str">
        <f t="shared" si="0"/>
        <v>Nov 2026</v>
      </c>
      <c r="C8" s="1" t="s">
        <v>39</v>
      </c>
      <c r="D8" s="1" t="s">
        <v>40</v>
      </c>
      <c r="E8" s="1" t="s">
        <v>41</v>
      </c>
      <c r="F8" s="1">
        <v>1400000</v>
      </c>
      <c r="G8" s="1" t="s">
        <v>44</v>
      </c>
      <c r="H8" s="1" t="s">
        <v>43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>
        <v>46367</v>
      </c>
      <c r="B9" s="1" t="str">
        <f t="shared" si="0"/>
        <v>Dec 2026</v>
      </c>
      <c r="C9" s="1" t="s">
        <v>39</v>
      </c>
      <c r="D9" s="1" t="s">
        <v>40</v>
      </c>
      <c r="E9" s="1" t="s">
        <v>41</v>
      </c>
      <c r="F9" s="1">
        <v>1400000</v>
      </c>
      <c r="G9" s="1" t="s">
        <v>44</v>
      </c>
      <c r="H9" s="1" t="s">
        <v>43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>
        <v>46398</v>
      </c>
      <c r="B10" s="1" t="str">
        <f t="shared" si="0"/>
        <v>Jan 2027</v>
      </c>
      <c r="C10" s="1" t="s">
        <v>39</v>
      </c>
      <c r="D10" s="1" t="s">
        <v>40</v>
      </c>
      <c r="E10" s="1" t="s">
        <v>41</v>
      </c>
      <c r="F10" s="1">
        <v>1400000</v>
      </c>
      <c r="G10" s="1" t="s">
        <v>44</v>
      </c>
      <c r="H10" s="1" t="s">
        <v>43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>
        <v>46429</v>
      </c>
      <c r="B11" s="1" t="str">
        <f t="shared" si="0"/>
        <v>Feb 2027</v>
      </c>
      <c r="C11" s="1" t="s">
        <v>39</v>
      </c>
      <c r="D11" s="1" t="s">
        <v>40</v>
      </c>
      <c r="E11" s="1" t="s">
        <v>41</v>
      </c>
      <c r="F11" s="1">
        <v>1400000</v>
      </c>
      <c r="G11" s="1" t="s">
        <v>44</v>
      </c>
      <c r="H11" s="1" t="s">
        <v>43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>
        <v>46457</v>
      </c>
      <c r="B12" s="1" t="str">
        <f t="shared" si="0"/>
        <v>Mar 2027</v>
      </c>
      <c r="C12" s="1" t="s">
        <v>39</v>
      </c>
      <c r="D12" s="1" t="s">
        <v>40</v>
      </c>
      <c r="E12" s="1" t="s">
        <v>41</v>
      </c>
      <c r="F12" s="1">
        <v>1400000</v>
      </c>
      <c r="G12" s="1" t="s">
        <v>44</v>
      </c>
      <c r="H12" s="1" t="s">
        <v>43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>
        <v>46488</v>
      </c>
      <c r="B13" s="1" t="str">
        <f t="shared" si="0"/>
        <v>Apr 2027</v>
      </c>
      <c r="C13" s="1" t="s">
        <v>39</v>
      </c>
      <c r="D13" s="1" t="s">
        <v>40</v>
      </c>
      <c r="E13" s="1" t="s">
        <v>41</v>
      </c>
      <c r="F13" s="1">
        <v>1400000</v>
      </c>
      <c r="G13" s="1" t="s">
        <v>44</v>
      </c>
      <c r="H13" s="1" t="s">
        <v>43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>
        <v>46518</v>
      </c>
      <c r="B14" s="1" t="str">
        <f t="shared" si="0"/>
        <v>May 2027</v>
      </c>
      <c r="C14" s="1" t="s">
        <v>39</v>
      </c>
      <c r="D14" s="1" t="s">
        <v>40</v>
      </c>
      <c r="E14" s="1" t="s">
        <v>41</v>
      </c>
      <c r="F14" s="1">
        <v>1400000</v>
      </c>
      <c r="G14" s="1" t="s">
        <v>44</v>
      </c>
      <c r="H14" s="1" t="s">
        <v>43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>
        <v>46549</v>
      </c>
      <c r="B15" s="1" t="str">
        <f t="shared" si="0"/>
        <v>Jun 2027</v>
      </c>
      <c r="C15" s="1" t="s">
        <v>39</v>
      </c>
      <c r="D15" s="1" t="s">
        <v>40</v>
      </c>
      <c r="E15" s="1" t="s">
        <v>41</v>
      </c>
      <c r="F15" s="1">
        <v>1400000</v>
      </c>
      <c r="G15" s="1" t="s">
        <v>44</v>
      </c>
      <c r="H15" s="1" t="s">
        <v>43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>
        <v>46218</v>
      </c>
      <c r="B16" s="1" t="str">
        <f t="shared" si="0"/>
        <v>Jul 2026</v>
      </c>
      <c r="C16" s="1" t="s">
        <v>45</v>
      </c>
      <c r="D16" s="1" t="s">
        <v>46</v>
      </c>
      <c r="E16" s="1" t="s">
        <v>47</v>
      </c>
      <c r="F16" s="1">
        <v>250000</v>
      </c>
      <c r="G16" s="1" t="s">
        <v>42</v>
      </c>
      <c r="H16" s="1" t="s">
        <v>48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>
        <v>46249</v>
      </c>
      <c r="B17" s="1" t="str">
        <f t="shared" si="0"/>
        <v>Aug 2026</v>
      </c>
      <c r="C17" s="1" t="s">
        <v>45</v>
      </c>
      <c r="D17" s="1" t="s">
        <v>46</v>
      </c>
      <c r="E17" s="1" t="s">
        <v>47</v>
      </c>
      <c r="F17" s="1">
        <v>300000</v>
      </c>
      <c r="G17" s="1" t="s">
        <v>42</v>
      </c>
      <c r="H17" s="1" t="s">
        <v>48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>
        <v>46280</v>
      </c>
      <c r="B18" s="1" t="str">
        <f t="shared" si="0"/>
        <v>Sep 2026</v>
      </c>
      <c r="C18" s="1" t="s">
        <v>45</v>
      </c>
      <c r="D18" s="1" t="s">
        <v>46</v>
      </c>
      <c r="E18" s="1" t="s">
        <v>47</v>
      </c>
      <c r="F18" s="1"/>
      <c r="G18" s="1" t="s">
        <v>44</v>
      </c>
      <c r="H18" s="1" t="s">
        <v>48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 t="str">
        <f t="shared" si="0"/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 t="str">
        <f t="shared" si="0"/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 t="str">
        <f t="shared" si="0"/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 t="str">
        <f t="shared" si="0"/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 t="str">
        <f t="shared" si="0"/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 t="str">
        <f t="shared" si="0"/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 t="str">
        <f t="shared" si="0"/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 t="str">
        <f t="shared" si="0"/>
        <v/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 t="str">
        <f t="shared" si="0"/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 t="str">
        <f t="shared" si="0"/>
        <v/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 t="str">
        <f t="shared" si="0"/>
        <v/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 t="str">
        <f t="shared" si="0"/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 t="str">
        <f t="shared" si="0"/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 t="str">
        <f t="shared" si="0"/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 t="str">
        <f t="shared" si="0"/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 t="str">
        <f t="shared" si="0"/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 t="str">
        <f t="shared" si="0"/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 t="str">
        <f t="shared" ref="B36:B67" si="1">IF(A36="","",TEXT(A36,"mmm yyyy"))</f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 t="str">
        <f t="shared" si="1"/>
        <v/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 t="str">
        <f t="shared" si="1"/>
        <v/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 t="str">
        <f t="shared" si="1"/>
        <v/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 t="str">
        <f t="shared" si="1"/>
        <v/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 t="str">
        <f t="shared" si="1"/>
        <v/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 t="str">
        <f t="shared" si="1"/>
        <v/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 t="str">
        <f t="shared" si="1"/>
        <v/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 t="str">
        <f t="shared" si="1"/>
        <v/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 t="str">
        <f t="shared" si="1"/>
        <v/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 t="str">
        <f t="shared" si="1"/>
        <v/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 t="str">
        <f t="shared" si="1"/>
        <v/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 t="str">
        <f t="shared" si="1"/>
        <v/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 t="str">
        <f t="shared" si="1"/>
        <v/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 t="str">
        <f t="shared" si="1"/>
        <v/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 t="str">
        <f t="shared" si="1"/>
        <v/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 t="str">
        <f t="shared" si="1"/>
        <v/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 t="str">
        <f t="shared" si="1"/>
        <v/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 t="str">
        <f t="shared" si="1"/>
        <v/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 t="str">
        <f t="shared" si="1"/>
        <v/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 t="str">
        <f t="shared" si="1"/>
        <v/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 t="str">
        <f t="shared" si="1"/>
        <v/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 t="str">
        <f t="shared" si="1"/>
        <v/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 t="str">
        <f t="shared" si="1"/>
        <v/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 t="str">
        <f t="shared" si="1"/>
        <v/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25">
      <c r="B61" t="str">
        <f t="shared" si="1"/>
        <v/>
      </c>
    </row>
    <row r="62" spans="1:26" ht="15" customHeight="1" x14ac:dyDescent="0.25">
      <c r="B62" t="str">
        <f t="shared" si="1"/>
        <v/>
      </c>
    </row>
    <row r="63" spans="1:26" ht="15" customHeight="1" x14ac:dyDescent="0.25">
      <c r="B63" t="str">
        <f t="shared" si="1"/>
        <v/>
      </c>
    </row>
    <row r="64" spans="1:26" ht="15" customHeight="1" x14ac:dyDescent="0.25">
      <c r="B64" t="str">
        <f t="shared" si="1"/>
        <v/>
      </c>
    </row>
    <row r="65" spans="2:2" ht="15" customHeight="1" x14ac:dyDescent="0.25">
      <c r="B65" t="str">
        <f t="shared" si="1"/>
        <v/>
      </c>
    </row>
    <row r="66" spans="2:2" ht="15" customHeight="1" x14ac:dyDescent="0.25">
      <c r="B66" t="str">
        <f t="shared" si="1"/>
        <v/>
      </c>
    </row>
    <row r="67" spans="2:2" ht="15" customHeight="1" x14ac:dyDescent="0.25">
      <c r="B67" t="str">
        <f t="shared" si="1"/>
        <v/>
      </c>
    </row>
    <row r="68" spans="2:2" ht="15" customHeight="1" x14ac:dyDescent="0.25">
      <c r="B68" t="str">
        <f t="shared" ref="B68:B99" si="2">IF(A68="","",TEXT(A68,"mmm yyyy"))</f>
        <v/>
      </c>
    </row>
    <row r="69" spans="2:2" ht="15" customHeight="1" x14ac:dyDescent="0.25">
      <c r="B69" t="str">
        <f t="shared" si="2"/>
        <v/>
      </c>
    </row>
    <row r="70" spans="2:2" ht="15" customHeight="1" x14ac:dyDescent="0.25">
      <c r="B70" t="str">
        <f t="shared" si="2"/>
        <v/>
      </c>
    </row>
    <row r="71" spans="2:2" ht="15" customHeight="1" x14ac:dyDescent="0.25">
      <c r="B71" t="str">
        <f t="shared" si="2"/>
        <v/>
      </c>
    </row>
    <row r="72" spans="2:2" ht="15" customHeight="1" x14ac:dyDescent="0.25">
      <c r="B72" t="str">
        <f t="shared" si="2"/>
        <v/>
      </c>
    </row>
    <row r="73" spans="2:2" ht="15" customHeight="1" x14ac:dyDescent="0.25">
      <c r="B73" t="str">
        <f t="shared" si="2"/>
        <v/>
      </c>
    </row>
    <row r="74" spans="2:2" ht="15" customHeight="1" x14ac:dyDescent="0.25">
      <c r="B74" t="str">
        <f t="shared" si="2"/>
        <v/>
      </c>
    </row>
    <row r="75" spans="2:2" ht="15" customHeight="1" x14ac:dyDescent="0.25">
      <c r="B75" t="str">
        <f t="shared" si="2"/>
        <v/>
      </c>
    </row>
    <row r="76" spans="2:2" ht="15" customHeight="1" x14ac:dyDescent="0.25">
      <c r="B76" t="str">
        <f t="shared" si="2"/>
        <v/>
      </c>
    </row>
    <row r="77" spans="2:2" ht="15" customHeight="1" x14ac:dyDescent="0.25">
      <c r="B77" t="str">
        <f t="shared" si="2"/>
        <v/>
      </c>
    </row>
    <row r="78" spans="2:2" ht="15" customHeight="1" x14ac:dyDescent="0.25">
      <c r="B78" t="str">
        <f t="shared" si="2"/>
        <v/>
      </c>
    </row>
    <row r="79" spans="2:2" ht="15" customHeight="1" x14ac:dyDescent="0.25">
      <c r="B79" t="str">
        <f t="shared" si="2"/>
        <v/>
      </c>
    </row>
    <row r="80" spans="2:2" ht="15" customHeight="1" x14ac:dyDescent="0.25">
      <c r="B80" t="str">
        <f t="shared" si="2"/>
        <v/>
      </c>
    </row>
    <row r="81" spans="2:2" ht="15" customHeight="1" x14ac:dyDescent="0.25">
      <c r="B81" t="str">
        <f t="shared" si="2"/>
        <v/>
      </c>
    </row>
    <row r="82" spans="2:2" ht="15" customHeight="1" x14ac:dyDescent="0.25">
      <c r="B82" t="str">
        <f t="shared" si="2"/>
        <v/>
      </c>
    </row>
    <row r="83" spans="2:2" ht="15" customHeight="1" x14ac:dyDescent="0.25">
      <c r="B83" t="str">
        <f t="shared" si="2"/>
        <v/>
      </c>
    </row>
    <row r="84" spans="2:2" ht="15" customHeight="1" x14ac:dyDescent="0.25">
      <c r="B84" t="str">
        <f t="shared" si="2"/>
        <v/>
      </c>
    </row>
    <row r="85" spans="2:2" ht="15" customHeight="1" x14ac:dyDescent="0.25">
      <c r="B85" t="str">
        <f t="shared" si="2"/>
        <v/>
      </c>
    </row>
    <row r="86" spans="2:2" ht="15" customHeight="1" x14ac:dyDescent="0.25">
      <c r="B86" t="str">
        <f t="shared" si="2"/>
        <v/>
      </c>
    </row>
    <row r="87" spans="2:2" ht="15" customHeight="1" x14ac:dyDescent="0.25">
      <c r="B87" t="str">
        <f t="shared" si="2"/>
        <v/>
      </c>
    </row>
    <row r="88" spans="2:2" ht="15" customHeight="1" x14ac:dyDescent="0.25">
      <c r="B88" t="str">
        <f t="shared" si="2"/>
        <v/>
      </c>
    </row>
    <row r="89" spans="2:2" ht="15" customHeight="1" x14ac:dyDescent="0.25">
      <c r="B89" t="str">
        <f t="shared" si="2"/>
        <v/>
      </c>
    </row>
    <row r="90" spans="2:2" ht="15" customHeight="1" x14ac:dyDescent="0.25">
      <c r="B90" t="str">
        <f t="shared" si="2"/>
        <v/>
      </c>
    </row>
    <row r="91" spans="2:2" ht="15" customHeight="1" x14ac:dyDescent="0.25">
      <c r="B91" t="str">
        <f t="shared" si="2"/>
        <v/>
      </c>
    </row>
    <row r="92" spans="2:2" ht="15" customHeight="1" x14ac:dyDescent="0.25">
      <c r="B92" t="str">
        <f t="shared" si="2"/>
        <v/>
      </c>
    </row>
    <row r="93" spans="2:2" ht="15" customHeight="1" x14ac:dyDescent="0.25">
      <c r="B93" t="str">
        <f t="shared" si="2"/>
        <v/>
      </c>
    </row>
    <row r="94" spans="2:2" ht="15" customHeight="1" x14ac:dyDescent="0.25">
      <c r="B94" t="str">
        <f t="shared" si="2"/>
        <v/>
      </c>
    </row>
    <row r="95" spans="2:2" ht="15" customHeight="1" x14ac:dyDescent="0.25">
      <c r="B95" t="str">
        <f t="shared" si="2"/>
        <v/>
      </c>
    </row>
    <row r="96" spans="2:2" ht="15" customHeight="1" x14ac:dyDescent="0.25">
      <c r="B96" t="str">
        <f t="shared" si="2"/>
        <v/>
      </c>
    </row>
    <row r="97" spans="2:2" ht="15" customHeight="1" x14ac:dyDescent="0.25">
      <c r="B97" t="str">
        <f t="shared" si="2"/>
        <v/>
      </c>
    </row>
    <row r="98" spans="2:2" ht="15" customHeight="1" x14ac:dyDescent="0.25">
      <c r="B98" t="str">
        <f t="shared" si="2"/>
        <v/>
      </c>
    </row>
    <row r="99" spans="2:2" ht="15" customHeight="1" x14ac:dyDescent="0.25">
      <c r="B99" t="str">
        <f t="shared" si="2"/>
        <v/>
      </c>
    </row>
    <row r="100" spans="2:2" ht="15" customHeight="1" x14ac:dyDescent="0.25">
      <c r="B100" t="str">
        <f t="shared" ref="B100:B131" si="3">IF(A100="","",TEXT(A100,"mmm yyyy"))</f>
        <v/>
      </c>
    </row>
    <row r="101" spans="2:2" ht="15" customHeight="1" x14ac:dyDescent="0.25">
      <c r="B101" t="str">
        <f t="shared" si="3"/>
        <v/>
      </c>
    </row>
    <row r="102" spans="2:2" ht="15" customHeight="1" x14ac:dyDescent="0.25">
      <c r="B102" t="str">
        <f t="shared" si="3"/>
        <v/>
      </c>
    </row>
    <row r="103" spans="2:2" ht="15" customHeight="1" x14ac:dyDescent="0.25">
      <c r="B103" t="str">
        <f t="shared" si="3"/>
        <v/>
      </c>
    </row>
    <row r="104" spans="2:2" ht="15" customHeight="1" x14ac:dyDescent="0.25">
      <c r="B104" t="str">
        <f t="shared" si="3"/>
        <v/>
      </c>
    </row>
    <row r="105" spans="2:2" ht="15" customHeight="1" x14ac:dyDescent="0.25">
      <c r="B105" t="str">
        <f t="shared" si="3"/>
        <v/>
      </c>
    </row>
    <row r="106" spans="2:2" ht="15" customHeight="1" x14ac:dyDescent="0.25">
      <c r="B106" t="str">
        <f t="shared" si="3"/>
        <v/>
      </c>
    </row>
    <row r="107" spans="2:2" ht="15" customHeight="1" x14ac:dyDescent="0.25">
      <c r="B107" t="str">
        <f t="shared" si="3"/>
        <v/>
      </c>
    </row>
    <row r="108" spans="2:2" ht="15" customHeight="1" x14ac:dyDescent="0.25">
      <c r="B108" t="str">
        <f t="shared" si="3"/>
        <v/>
      </c>
    </row>
    <row r="109" spans="2:2" ht="15" customHeight="1" x14ac:dyDescent="0.25">
      <c r="B109" t="str">
        <f t="shared" si="3"/>
        <v/>
      </c>
    </row>
    <row r="110" spans="2:2" ht="15" customHeight="1" x14ac:dyDescent="0.25">
      <c r="B110" t="str">
        <f t="shared" si="3"/>
        <v/>
      </c>
    </row>
    <row r="111" spans="2:2" ht="15" customHeight="1" x14ac:dyDescent="0.25">
      <c r="B111" t="str">
        <f t="shared" si="3"/>
        <v/>
      </c>
    </row>
    <row r="112" spans="2:2" ht="15" customHeight="1" x14ac:dyDescent="0.25">
      <c r="B112" t="str">
        <f t="shared" si="3"/>
        <v/>
      </c>
    </row>
    <row r="113" spans="2:2" ht="15" customHeight="1" x14ac:dyDescent="0.25">
      <c r="B113" t="str">
        <f t="shared" si="3"/>
        <v/>
      </c>
    </row>
    <row r="114" spans="2:2" ht="15" customHeight="1" x14ac:dyDescent="0.25">
      <c r="B114" t="str">
        <f t="shared" si="3"/>
        <v/>
      </c>
    </row>
    <row r="115" spans="2:2" ht="15" customHeight="1" x14ac:dyDescent="0.25">
      <c r="B115" t="str">
        <f t="shared" si="3"/>
        <v/>
      </c>
    </row>
    <row r="116" spans="2:2" ht="15" customHeight="1" x14ac:dyDescent="0.25">
      <c r="B116" t="str">
        <f t="shared" si="3"/>
        <v/>
      </c>
    </row>
    <row r="117" spans="2:2" ht="15" customHeight="1" x14ac:dyDescent="0.25">
      <c r="B117" t="str">
        <f t="shared" si="3"/>
        <v/>
      </c>
    </row>
    <row r="118" spans="2:2" ht="15" customHeight="1" x14ac:dyDescent="0.25">
      <c r="B118" t="str">
        <f t="shared" si="3"/>
        <v/>
      </c>
    </row>
    <row r="119" spans="2:2" ht="15" customHeight="1" x14ac:dyDescent="0.25">
      <c r="B119" t="str">
        <f t="shared" si="3"/>
        <v/>
      </c>
    </row>
    <row r="120" spans="2:2" ht="15" customHeight="1" x14ac:dyDescent="0.25">
      <c r="B120" t="str">
        <f t="shared" si="3"/>
        <v/>
      </c>
    </row>
    <row r="121" spans="2:2" ht="15" customHeight="1" x14ac:dyDescent="0.25">
      <c r="B121" t="str">
        <f t="shared" si="3"/>
        <v/>
      </c>
    </row>
    <row r="122" spans="2:2" ht="15" customHeight="1" x14ac:dyDescent="0.25">
      <c r="B122" t="str">
        <f t="shared" si="3"/>
        <v/>
      </c>
    </row>
    <row r="123" spans="2:2" ht="15" customHeight="1" x14ac:dyDescent="0.25">
      <c r="B123" t="str">
        <f t="shared" si="3"/>
        <v/>
      </c>
    </row>
    <row r="124" spans="2:2" ht="15" customHeight="1" x14ac:dyDescent="0.25">
      <c r="B124" t="str">
        <f t="shared" si="3"/>
        <v/>
      </c>
    </row>
    <row r="125" spans="2:2" ht="15" customHeight="1" x14ac:dyDescent="0.25">
      <c r="B125" t="str">
        <f t="shared" si="3"/>
        <v/>
      </c>
    </row>
    <row r="126" spans="2:2" ht="15" customHeight="1" x14ac:dyDescent="0.25">
      <c r="B126" t="str">
        <f t="shared" si="3"/>
        <v/>
      </c>
    </row>
    <row r="127" spans="2:2" ht="15" customHeight="1" x14ac:dyDescent="0.25">
      <c r="B127" t="str">
        <f t="shared" si="3"/>
        <v/>
      </c>
    </row>
    <row r="128" spans="2:2" ht="15" customHeight="1" x14ac:dyDescent="0.25">
      <c r="B128" t="str">
        <f t="shared" si="3"/>
        <v/>
      </c>
    </row>
    <row r="129" spans="2:2" ht="15" customHeight="1" x14ac:dyDescent="0.25">
      <c r="B129" t="str">
        <f t="shared" si="3"/>
        <v/>
      </c>
    </row>
    <row r="130" spans="2:2" ht="15" customHeight="1" x14ac:dyDescent="0.25">
      <c r="B130" t="str">
        <f t="shared" si="3"/>
        <v/>
      </c>
    </row>
    <row r="131" spans="2:2" ht="15" customHeight="1" x14ac:dyDescent="0.25">
      <c r="B131" t="str">
        <f t="shared" si="3"/>
        <v/>
      </c>
    </row>
    <row r="132" spans="2:2" ht="15" customHeight="1" x14ac:dyDescent="0.25">
      <c r="B132" t="str">
        <f t="shared" ref="B132:B163" si="4">IF(A132="","",TEXT(A132,"mmm yyyy"))</f>
        <v/>
      </c>
    </row>
    <row r="133" spans="2:2" ht="15" customHeight="1" x14ac:dyDescent="0.25">
      <c r="B133" t="str">
        <f t="shared" si="4"/>
        <v/>
      </c>
    </row>
    <row r="134" spans="2:2" ht="15" customHeight="1" x14ac:dyDescent="0.25">
      <c r="B134" t="str">
        <f t="shared" si="4"/>
        <v/>
      </c>
    </row>
    <row r="135" spans="2:2" ht="15" customHeight="1" x14ac:dyDescent="0.25">
      <c r="B135" t="str">
        <f t="shared" si="4"/>
        <v/>
      </c>
    </row>
    <row r="136" spans="2:2" ht="15" customHeight="1" x14ac:dyDescent="0.25">
      <c r="B136" t="str">
        <f t="shared" si="4"/>
        <v/>
      </c>
    </row>
    <row r="137" spans="2:2" ht="15" customHeight="1" x14ac:dyDescent="0.25">
      <c r="B137" t="str">
        <f t="shared" si="4"/>
        <v/>
      </c>
    </row>
    <row r="138" spans="2:2" ht="15" customHeight="1" x14ac:dyDescent="0.25">
      <c r="B138" t="str">
        <f t="shared" si="4"/>
        <v/>
      </c>
    </row>
    <row r="139" spans="2:2" ht="15" customHeight="1" x14ac:dyDescent="0.25">
      <c r="B139" t="str">
        <f t="shared" si="4"/>
        <v/>
      </c>
    </row>
    <row r="140" spans="2:2" ht="15" customHeight="1" x14ac:dyDescent="0.25">
      <c r="B140" t="str">
        <f t="shared" si="4"/>
        <v/>
      </c>
    </row>
    <row r="141" spans="2:2" ht="15" customHeight="1" x14ac:dyDescent="0.25">
      <c r="B141" t="str">
        <f t="shared" si="4"/>
        <v/>
      </c>
    </row>
    <row r="142" spans="2:2" ht="15" customHeight="1" x14ac:dyDescent="0.25">
      <c r="B142" t="str">
        <f t="shared" si="4"/>
        <v/>
      </c>
    </row>
    <row r="143" spans="2:2" ht="15" customHeight="1" x14ac:dyDescent="0.25">
      <c r="B143" t="str">
        <f t="shared" si="4"/>
        <v/>
      </c>
    </row>
    <row r="144" spans="2:2" ht="15" customHeight="1" x14ac:dyDescent="0.25">
      <c r="B144" t="str">
        <f t="shared" si="4"/>
        <v/>
      </c>
    </row>
    <row r="145" spans="2:2" ht="15" customHeight="1" x14ac:dyDescent="0.25">
      <c r="B145" t="str">
        <f t="shared" si="4"/>
        <v/>
      </c>
    </row>
    <row r="146" spans="2:2" ht="15" customHeight="1" x14ac:dyDescent="0.25">
      <c r="B146" t="str">
        <f t="shared" si="4"/>
        <v/>
      </c>
    </row>
    <row r="147" spans="2:2" ht="15" customHeight="1" x14ac:dyDescent="0.25">
      <c r="B147" t="str">
        <f t="shared" si="4"/>
        <v/>
      </c>
    </row>
    <row r="148" spans="2:2" ht="15" customHeight="1" x14ac:dyDescent="0.25">
      <c r="B148" t="str">
        <f t="shared" si="4"/>
        <v/>
      </c>
    </row>
    <row r="149" spans="2:2" ht="15" customHeight="1" x14ac:dyDescent="0.25">
      <c r="B149" t="str">
        <f t="shared" si="4"/>
        <v/>
      </c>
    </row>
    <row r="150" spans="2:2" ht="15" customHeight="1" x14ac:dyDescent="0.25">
      <c r="B150" t="str">
        <f t="shared" si="4"/>
        <v/>
      </c>
    </row>
    <row r="151" spans="2:2" ht="15" customHeight="1" x14ac:dyDescent="0.25">
      <c r="B151" t="str">
        <f t="shared" si="4"/>
        <v/>
      </c>
    </row>
    <row r="152" spans="2:2" ht="15" customHeight="1" x14ac:dyDescent="0.25">
      <c r="B152" t="str">
        <f t="shared" si="4"/>
        <v/>
      </c>
    </row>
    <row r="153" spans="2:2" ht="15" customHeight="1" x14ac:dyDescent="0.25">
      <c r="B153" t="str">
        <f t="shared" si="4"/>
        <v/>
      </c>
    </row>
    <row r="154" spans="2:2" ht="15" customHeight="1" x14ac:dyDescent="0.25">
      <c r="B154" t="str">
        <f t="shared" si="4"/>
        <v/>
      </c>
    </row>
    <row r="155" spans="2:2" ht="15" customHeight="1" x14ac:dyDescent="0.25">
      <c r="B155" t="str">
        <f t="shared" si="4"/>
        <v/>
      </c>
    </row>
    <row r="156" spans="2:2" ht="15" customHeight="1" x14ac:dyDescent="0.25">
      <c r="B156" t="str">
        <f t="shared" si="4"/>
        <v/>
      </c>
    </row>
    <row r="157" spans="2:2" ht="15" customHeight="1" x14ac:dyDescent="0.25">
      <c r="B157" t="str">
        <f t="shared" si="4"/>
        <v/>
      </c>
    </row>
    <row r="158" spans="2:2" ht="15" customHeight="1" x14ac:dyDescent="0.25">
      <c r="B158" t="str">
        <f t="shared" si="4"/>
        <v/>
      </c>
    </row>
    <row r="159" spans="2:2" ht="15" customHeight="1" x14ac:dyDescent="0.25">
      <c r="B159" t="str">
        <f t="shared" si="4"/>
        <v/>
      </c>
    </row>
    <row r="160" spans="2:2" ht="15" customHeight="1" x14ac:dyDescent="0.25">
      <c r="B160" t="str">
        <f t="shared" si="4"/>
        <v/>
      </c>
    </row>
    <row r="161" spans="2:2" ht="15" customHeight="1" x14ac:dyDescent="0.25">
      <c r="B161" t="str">
        <f t="shared" si="4"/>
        <v/>
      </c>
    </row>
    <row r="162" spans="2:2" ht="15" customHeight="1" x14ac:dyDescent="0.25">
      <c r="B162" t="str">
        <f t="shared" si="4"/>
        <v/>
      </c>
    </row>
    <row r="163" spans="2:2" ht="15" customHeight="1" x14ac:dyDescent="0.25">
      <c r="B163" t="str">
        <f t="shared" si="4"/>
        <v/>
      </c>
    </row>
    <row r="164" spans="2:2" ht="15" customHeight="1" x14ac:dyDescent="0.25">
      <c r="B164" t="str">
        <f t="shared" ref="B164:B195" si="5">IF(A164="","",TEXT(A164,"mmm yyyy"))</f>
        <v/>
      </c>
    </row>
    <row r="165" spans="2:2" ht="15" customHeight="1" x14ac:dyDescent="0.25">
      <c r="B165" t="str">
        <f t="shared" si="5"/>
        <v/>
      </c>
    </row>
    <row r="166" spans="2:2" ht="15" customHeight="1" x14ac:dyDescent="0.25">
      <c r="B166" t="str">
        <f t="shared" si="5"/>
        <v/>
      </c>
    </row>
    <row r="167" spans="2:2" ht="15" customHeight="1" x14ac:dyDescent="0.25">
      <c r="B167" t="str">
        <f t="shared" si="5"/>
        <v/>
      </c>
    </row>
    <row r="168" spans="2:2" ht="15" customHeight="1" x14ac:dyDescent="0.25">
      <c r="B168" t="str">
        <f t="shared" si="5"/>
        <v/>
      </c>
    </row>
    <row r="169" spans="2:2" ht="15" customHeight="1" x14ac:dyDescent="0.25">
      <c r="B169" t="str">
        <f t="shared" si="5"/>
        <v/>
      </c>
    </row>
    <row r="170" spans="2:2" ht="15" customHeight="1" x14ac:dyDescent="0.25">
      <c r="B170" t="str">
        <f t="shared" si="5"/>
        <v/>
      </c>
    </row>
    <row r="171" spans="2:2" ht="15" customHeight="1" x14ac:dyDescent="0.25">
      <c r="B171" t="str">
        <f t="shared" si="5"/>
        <v/>
      </c>
    </row>
    <row r="172" spans="2:2" ht="15" customHeight="1" x14ac:dyDescent="0.25">
      <c r="B172" t="str">
        <f t="shared" si="5"/>
        <v/>
      </c>
    </row>
    <row r="173" spans="2:2" ht="15" customHeight="1" x14ac:dyDescent="0.25">
      <c r="B173" t="str">
        <f t="shared" si="5"/>
        <v/>
      </c>
    </row>
    <row r="174" spans="2:2" ht="15" customHeight="1" x14ac:dyDescent="0.25">
      <c r="B174" t="str">
        <f t="shared" si="5"/>
        <v/>
      </c>
    </row>
    <row r="175" spans="2:2" ht="15" customHeight="1" x14ac:dyDescent="0.25">
      <c r="B175" t="str">
        <f t="shared" si="5"/>
        <v/>
      </c>
    </row>
    <row r="176" spans="2:2" ht="15" customHeight="1" x14ac:dyDescent="0.25">
      <c r="B176" t="str">
        <f t="shared" si="5"/>
        <v/>
      </c>
    </row>
    <row r="177" spans="2:2" ht="15" customHeight="1" x14ac:dyDescent="0.25">
      <c r="B177" t="str">
        <f t="shared" si="5"/>
        <v/>
      </c>
    </row>
    <row r="178" spans="2:2" ht="15" customHeight="1" x14ac:dyDescent="0.25">
      <c r="B178" t="str">
        <f t="shared" si="5"/>
        <v/>
      </c>
    </row>
    <row r="179" spans="2:2" ht="15" customHeight="1" x14ac:dyDescent="0.25">
      <c r="B179" t="str">
        <f t="shared" si="5"/>
        <v/>
      </c>
    </row>
    <row r="180" spans="2:2" ht="15" customHeight="1" x14ac:dyDescent="0.25">
      <c r="B180" t="str">
        <f t="shared" si="5"/>
        <v/>
      </c>
    </row>
    <row r="181" spans="2:2" ht="15" customHeight="1" x14ac:dyDescent="0.25">
      <c r="B181" t="str">
        <f t="shared" si="5"/>
        <v/>
      </c>
    </row>
    <row r="182" spans="2:2" ht="15" customHeight="1" x14ac:dyDescent="0.25">
      <c r="B182" t="str">
        <f t="shared" si="5"/>
        <v/>
      </c>
    </row>
    <row r="183" spans="2:2" ht="15" customHeight="1" x14ac:dyDescent="0.25">
      <c r="B183" t="str">
        <f t="shared" si="5"/>
        <v/>
      </c>
    </row>
    <row r="184" spans="2:2" ht="15" customHeight="1" x14ac:dyDescent="0.25">
      <c r="B184" t="str">
        <f t="shared" si="5"/>
        <v/>
      </c>
    </row>
    <row r="185" spans="2:2" ht="15" customHeight="1" x14ac:dyDescent="0.25">
      <c r="B185" t="str">
        <f t="shared" si="5"/>
        <v/>
      </c>
    </row>
    <row r="186" spans="2:2" ht="15" customHeight="1" x14ac:dyDescent="0.25">
      <c r="B186" t="str">
        <f t="shared" si="5"/>
        <v/>
      </c>
    </row>
    <row r="187" spans="2:2" ht="15" customHeight="1" x14ac:dyDescent="0.25">
      <c r="B187" t="str">
        <f t="shared" si="5"/>
        <v/>
      </c>
    </row>
    <row r="188" spans="2:2" ht="15" customHeight="1" x14ac:dyDescent="0.25">
      <c r="B188" t="str">
        <f t="shared" si="5"/>
        <v/>
      </c>
    </row>
    <row r="189" spans="2:2" ht="15" customHeight="1" x14ac:dyDescent="0.25">
      <c r="B189" t="str">
        <f t="shared" si="5"/>
        <v/>
      </c>
    </row>
    <row r="190" spans="2:2" ht="15" customHeight="1" x14ac:dyDescent="0.25">
      <c r="B190" t="str">
        <f t="shared" si="5"/>
        <v/>
      </c>
    </row>
    <row r="191" spans="2:2" ht="15" customHeight="1" x14ac:dyDescent="0.25">
      <c r="B191" t="str">
        <f t="shared" si="5"/>
        <v/>
      </c>
    </row>
    <row r="192" spans="2:2" ht="15" customHeight="1" x14ac:dyDescent="0.25">
      <c r="B192" t="str">
        <f t="shared" si="5"/>
        <v/>
      </c>
    </row>
    <row r="193" spans="2:2" ht="15" customHeight="1" x14ac:dyDescent="0.25">
      <c r="B193" t="str">
        <f t="shared" si="5"/>
        <v/>
      </c>
    </row>
    <row r="194" spans="2:2" ht="15" customHeight="1" x14ac:dyDescent="0.25">
      <c r="B194" t="str">
        <f t="shared" si="5"/>
        <v/>
      </c>
    </row>
    <row r="195" spans="2:2" ht="15" customHeight="1" x14ac:dyDescent="0.25">
      <c r="B195" t="str">
        <f t="shared" si="5"/>
        <v/>
      </c>
    </row>
    <row r="196" spans="2:2" ht="15" customHeight="1" x14ac:dyDescent="0.25">
      <c r="B196" t="str">
        <f t="shared" ref="B196:B200" si="6">IF(A196="","",TEXT(A196,"mmm yyyy"))</f>
        <v/>
      </c>
    </row>
    <row r="197" spans="2:2" ht="15" customHeight="1" x14ac:dyDescent="0.25">
      <c r="B197" t="str">
        <f t="shared" si="6"/>
        <v/>
      </c>
    </row>
    <row r="198" spans="2:2" ht="15" customHeight="1" x14ac:dyDescent="0.25">
      <c r="B198" t="str">
        <f t="shared" si="6"/>
        <v/>
      </c>
    </row>
    <row r="199" spans="2:2" ht="15" customHeight="1" x14ac:dyDescent="0.25">
      <c r="B199" t="str">
        <f t="shared" si="6"/>
        <v/>
      </c>
    </row>
    <row r="200" spans="2:2" ht="15" customHeight="1" x14ac:dyDescent="0.25">
      <c r="B200" t="str">
        <f t="shared" si="6"/>
        <v/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Categories!$A$2:$A$7</xm:f>
          </x14:formula1>
          <x14:formula2>
            <xm:f>0</xm:f>
          </x14:formula2>
          <xm:sqref>C4:C200</xm:sqref>
        </x14:dataValidation>
        <x14:dataValidation type="list" xr:uid="{00000000-0002-0000-0100-000001000000}">
          <x14:formula1>
            <xm:f>Categories!$G$2:$G$8</xm:f>
          </x14:formula1>
          <x14:formula2>
            <xm:f>0</xm:f>
          </x14:formula2>
          <xm:sqref>G4:G200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0"/>
  <sheetViews>
    <sheetView zoomScaleNormal="100" workbookViewId="0">
      <selection activeCell="E31" sqref="E31"/>
    </sheetView>
  </sheetViews>
  <sheetFormatPr defaultColWidth="8.6640625" defaultRowHeight="13.2" x14ac:dyDescent="0.25"/>
  <cols>
    <col min="1" max="4" width="16" customWidth="1"/>
    <col min="5" max="5" width="28" customWidth="1"/>
    <col min="6" max="8" width="16" customWidth="1"/>
    <col min="9" max="9" width="25" customWidth="1"/>
  </cols>
  <sheetData>
    <row r="1" spans="1:26" ht="19.5" customHeight="1" x14ac:dyDescent="0.25">
      <c r="A1" s="21" t="s">
        <v>49</v>
      </c>
      <c r="B1" s="21"/>
      <c r="C1" s="21"/>
      <c r="D1" s="21"/>
      <c r="E1" s="21"/>
      <c r="F1" s="21"/>
      <c r="G1" s="21"/>
      <c r="H1" s="21"/>
      <c r="I1" s="2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7" t="s">
        <v>31</v>
      </c>
      <c r="B3" s="7" t="s">
        <v>32</v>
      </c>
      <c r="C3" s="7" t="s">
        <v>50</v>
      </c>
      <c r="D3" s="7" t="s">
        <v>51</v>
      </c>
      <c r="E3" s="7" t="s">
        <v>34</v>
      </c>
      <c r="F3" s="7" t="s">
        <v>36</v>
      </c>
      <c r="G3" s="7" t="s">
        <v>52</v>
      </c>
      <c r="H3" s="7" t="s">
        <v>37</v>
      </c>
      <c r="I3" s="7" t="s">
        <v>38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>
        <v>46204</v>
      </c>
      <c r="B4" s="1" t="str">
        <f t="shared" ref="B4:B67" si="0">IF(A4="","",TEXT(A4,"mmm yyyy"))</f>
        <v>Jul 2026</v>
      </c>
      <c r="C4" s="1" t="s">
        <v>12</v>
      </c>
      <c r="D4" s="1" t="s">
        <v>53</v>
      </c>
      <c r="E4" s="1" t="s">
        <v>54</v>
      </c>
      <c r="F4" s="1">
        <v>100000</v>
      </c>
      <c r="G4" s="1" t="s">
        <v>55</v>
      </c>
      <c r="H4" s="1" t="s">
        <v>56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>
        <v>46206</v>
      </c>
      <c r="B5" s="1" t="str">
        <f t="shared" si="0"/>
        <v>Jul 2026</v>
      </c>
      <c r="C5" s="1" t="s">
        <v>14</v>
      </c>
      <c r="D5" s="1" t="s">
        <v>57</v>
      </c>
      <c r="E5" s="1" t="s">
        <v>58</v>
      </c>
      <c r="F5" s="1">
        <v>35000</v>
      </c>
      <c r="G5" s="1" t="s">
        <v>55</v>
      </c>
      <c r="H5" s="1" t="s">
        <v>56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>
        <v>46208</v>
      </c>
      <c r="B6" s="1" t="str">
        <f t="shared" si="0"/>
        <v>Jul 2026</v>
      </c>
      <c r="C6" s="1" t="s">
        <v>16</v>
      </c>
      <c r="D6" s="1" t="s">
        <v>59</v>
      </c>
      <c r="E6" s="1" t="s">
        <v>60</v>
      </c>
      <c r="F6" s="1">
        <v>95000</v>
      </c>
      <c r="G6" s="1" t="s">
        <v>61</v>
      </c>
      <c r="H6" s="1" t="s">
        <v>56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>
        <v>46211</v>
      </c>
      <c r="B7" s="1" t="str">
        <f t="shared" si="0"/>
        <v>Jul 2026</v>
      </c>
      <c r="C7" s="1" t="s">
        <v>15</v>
      </c>
      <c r="D7" s="1" t="s">
        <v>62</v>
      </c>
      <c r="E7" s="1" t="s">
        <v>15</v>
      </c>
      <c r="F7" s="1">
        <v>45000</v>
      </c>
      <c r="G7" s="1" t="s">
        <v>63</v>
      </c>
      <c r="H7" s="1" t="s">
        <v>56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>
        <v>46213</v>
      </c>
      <c r="B8" s="1" t="str">
        <f t="shared" si="0"/>
        <v>Jul 2026</v>
      </c>
      <c r="C8" s="1" t="s">
        <v>20</v>
      </c>
      <c r="D8" s="1" t="s">
        <v>64</v>
      </c>
      <c r="E8" s="1" t="s">
        <v>65</v>
      </c>
      <c r="F8" s="1">
        <v>120000</v>
      </c>
      <c r="G8" s="1" t="s">
        <v>55</v>
      </c>
      <c r="H8" s="1" t="s">
        <v>56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>
        <v>46215</v>
      </c>
      <c r="B9" s="1" t="str">
        <f t="shared" si="0"/>
        <v>Jul 2026</v>
      </c>
      <c r="C9" s="1" t="s">
        <v>19</v>
      </c>
      <c r="D9" s="1" t="s">
        <v>66</v>
      </c>
      <c r="E9" s="1" t="s">
        <v>67</v>
      </c>
      <c r="F9" s="1">
        <v>80000</v>
      </c>
      <c r="G9" s="1" t="s">
        <v>55</v>
      </c>
      <c r="H9" s="1" t="s">
        <v>56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>
        <v>46218</v>
      </c>
      <c r="B10" s="1" t="str">
        <f t="shared" si="0"/>
        <v>Jul 2026</v>
      </c>
      <c r="C10" s="1" t="s">
        <v>13</v>
      </c>
      <c r="D10" s="1" t="s">
        <v>68</v>
      </c>
      <c r="E10" s="1" t="s">
        <v>69</v>
      </c>
      <c r="F10" s="1">
        <v>18000</v>
      </c>
      <c r="G10" s="1" t="s">
        <v>55</v>
      </c>
      <c r="H10" s="1" t="s">
        <v>56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>
        <v>46221</v>
      </c>
      <c r="B11" s="1" t="str">
        <f t="shared" si="0"/>
        <v>Jul 2026</v>
      </c>
      <c r="C11" s="1" t="s">
        <v>17</v>
      </c>
      <c r="D11" s="1" t="s">
        <v>70</v>
      </c>
      <c r="E11" s="1" t="s">
        <v>71</v>
      </c>
      <c r="F11" s="1">
        <v>42000</v>
      </c>
      <c r="G11" s="1" t="s">
        <v>61</v>
      </c>
      <c r="H11" s="1" t="s">
        <v>56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>
        <v>46223</v>
      </c>
      <c r="B12" s="1" t="str">
        <f t="shared" si="0"/>
        <v>Jul 2026</v>
      </c>
      <c r="C12" s="1" t="s">
        <v>18</v>
      </c>
      <c r="D12" s="1" t="s">
        <v>72</v>
      </c>
      <c r="E12" s="1" t="s">
        <v>18</v>
      </c>
      <c r="F12" s="1">
        <v>25000</v>
      </c>
      <c r="G12" s="1" t="s">
        <v>61</v>
      </c>
      <c r="H12" s="1" t="s">
        <v>56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>
        <v>46225</v>
      </c>
      <c r="B13" s="1" t="str">
        <f t="shared" si="0"/>
        <v>Jul 2026</v>
      </c>
      <c r="C13" s="1" t="s">
        <v>21</v>
      </c>
      <c r="D13" s="1" t="s">
        <v>73</v>
      </c>
      <c r="E13" s="1" t="s">
        <v>21</v>
      </c>
      <c r="F13" s="1">
        <v>30000</v>
      </c>
      <c r="G13" s="1" t="s">
        <v>55</v>
      </c>
      <c r="H13" s="1" t="s">
        <v>56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>
        <v>46228</v>
      </c>
      <c r="B14" s="1" t="str">
        <f t="shared" si="0"/>
        <v>Jul 2026</v>
      </c>
      <c r="C14" s="1" t="s">
        <v>22</v>
      </c>
      <c r="D14" s="1" t="s">
        <v>74</v>
      </c>
      <c r="E14" s="1" t="s">
        <v>75</v>
      </c>
      <c r="F14" s="1">
        <v>20000</v>
      </c>
      <c r="G14" s="1" t="s">
        <v>55</v>
      </c>
      <c r="H14" s="1" t="s">
        <v>56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>
        <v>46230</v>
      </c>
      <c r="B15" s="1" t="str">
        <f t="shared" si="0"/>
        <v>Jul 2026</v>
      </c>
      <c r="C15" s="1" t="s">
        <v>23</v>
      </c>
      <c r="D15" s="1" t="s">
        <v>76</v>
      </c>
      <c r="E15" s="1" t="s">
        <v>23</v>
      </c>
      <c r="F15" s="1">
        <v>12000</v>
      </c>
      <c r="G15" s="1" t="s">
        <v>63</v>
      </c>
      <c r="H15" s="1" t="s">
        <v>56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>
        <v>46232</v>
      </c>
      <c r="B16" s="1" t="str">
        <f t="shared" si="0"/>
        <v>Jul 2026</v>
      </c>
      <c r="C16" s="1" t="s">
        <v>24</v>
      </c>
      <c r="D16" s="1" t="s">
        <v>77</v>
      </c>
      <c r="E16" s="1" t="s">
        <v>24</v>
      </c>
      <c r="F16" s="1">
        <v>18000</v>
      </c>
      <c r="G16" s="1" t="s">
        <v>63</v>
      </c>
      <c r="H16" s="1" t="s">
        <v>56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>
        <v>46235</v>
      </c>
      <c r="B17" s="1" t="str">
        <f t="shared" si="0"/>
        <v>Aug 2026</v>
      </c>
      <c r="C17" s="1" t="s">
        <v>12</v>
      </c>
      <c r="D17" s="1" t="s">
        <v>53</v>
      </c>
      <c r="E17" s="1" t="s">
        <v>54</v>
      </c>
      <c r="F17" s="1">
        <v>100000</v>
      </c>
      <c r="G17" s="1" t="s">
        <v>55</v>
      </c>
      <c r="H17" s="1" t="s">
        <v>56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>
        <v>46237</v>
      </c>
      <c r="B18" s="1" t="str">
        <f t="shared" si="0"/>
        <v>Aug 2026</v>
      </c>
      <c r="C18" s="1" t="s">
        <v>14</v>
      </c>
      <c r="D18" s="1" t="s">
        <v>57</v>
      </c>
      <c r="E18" s="1" t="s">
        <v>58</v>
      </c>
      <c r="F18" s="1">
        <v>35000</v>
      </c>
      <c r="G18" s="1" t="s">
        <v>55</v>
      </c>
      <c r="H18" s="1" t="s">
        <v>56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>
        <v>46238</v>
      </c>
      <c r="B19" s="1" t="str">
        <f t="shared" si="0"/>
        <v>Aug 2026</v>
      </c>
      <c r="C19" s="1" t="s">
        <v>16</v>
      </c>
      <c r="D19" s="1" t="s">
        <v>59</v>
      </c>
      <c r="E19" s="1" t="s">
        <v>60</v>
      </c>
      <c r="F19" s="1">
        <v>105000</v>
      </c>
      <c r="G19" s="1" t="s">
        <v>61</v>
      </c>
      <c r="H19" s="1" t="s">
        <v>56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>
        <v>46241</v>
      </c>
      <c r="B20" s="1" t="str">
        <f t="shared" si="0"/>
        <v>Aug 2026</v>
      </c>
      <c r="C20" s="1" t="s">
        <v>15</v>
      </c>
      <c r="D20" s="1" t="s">
        <v>62</v>
      </c>
      <c r="E20" s="1" t="s">
        <v>15</v>
      </c>
      <c r="F20" s="1">
        <v>50000</v>
      </c>
      <c r="G20" s="1" t="s">
        <v>63</v>
      </c>
      <c r="H20" s="1" t="s">
        <v>56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>
        <v>46244</v>
      </c>
      <c r="B21" s="1" t="str">
        <f t="shared" si="0"/>
        <v>Aug 2026</v>
      </c>
      <c r="C21" s="1" t="s">
        <v>20</v>
      </c>
      <c r="D21" s="1" t="s">
        <v>64</v>
      </c>
      <c r="E21" s="1" t="s">
        <v>65</v>
      </c>
      <c r="F21" s="1">
        <v>120000</v>
      </c>
      <c r="G21" s="1" t="s">
        <v>55</v>
      </c>
      <c r="H21" s="1" t="s">
        <v>56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>
        <v>46246</v>
      </c>
      <c r="B22" s="1" t="str">
        <f t="shared" si="0"/>
        <v>Aug 2026</v>
      </c>
      <c r="C22" s="1" t="s">
        <v>19</v>
      </c>
      <c r="D22" s="1" t="s">
        <v>66</v>
      </c>
      <c r="E22" s="1" t="s">
        <v>67</v>
      </c>
      <c r="F22" s="1">
        <v>80000</v>
      </c>
      <c r="G22" s="1" t="s">
        <v>55</v>
      </c>
      <c r="H22" s="1" t="s">
        <v>56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>
        <v>46249</v>
      </c>
      <c r="B23" s="1" t="str">
        <f t="shared" si="0"/>
        <v>Aug 2026</v>
      </c>
      <c r="C23" s="1" t="s">
        <v>13</v>
      </c>
      <c r="D23" s="1" t="s">
        <v>68</v>
      </c>
      <c r="E23" s="1" t="s">
        <v>69</v>
      </c>
      <c r="F23" s="1">
        <v>22000</v>
      </c>
      <c r="G23" s="1" t="s">
        <v>55</v>
      </c>
      <c r="H23" s="1" t="s">
        <v>56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>
        <v>46252</v>
      </c>
      <c r="B24" s="1" t="str">
        <f t="shared" si="0"/>
        <v>Aug 2026</v>
      </c>
      <c r="C24" s="1" t="s">
        <v>17</v>
      </c>
      <c r="D24" s="1" t="s">
        <v>70</v>
      </c>
      <c r="E24" s="1" t="s">
        <v>71</v>
      </c>
      <c r="F24" s="1">
        <v>45000</v>
      </c>
      <c r="G24" s="1" t="s">
        <v>61</v>
      </c>
      <c r="H24" s="1" t="s">
        <v>56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>
        <v>46254</v>
      </c>
      <c r="B25" s="1" t="str">
        <f t="shared" si="0"/>
        <v>Aug 2026</v>
      </c>
      <c r="C25" s="1" t="s">
        <v>18</v>
      </c>
      <c r="D25" s="1" t="s">
        <v>72</v>
      </c>
      <c r="E25" s="1" t="s">
        <v>18</v>
      </c>
      <c r="F25" s="1">
        <v>30000</v>
      </c>
      <c r="G25" s="1" t="s">
        <v>61</v>
      </c>
      <c r="H25" s="1" t="s">
        <v>56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>
        <v>46256</v>
      </c>
      <c r="B26" s="1" t="str">
        <f t="shared" si="0"/>
        <v>Aug 2026</v>
      </c>
      <c r="C26" s="1" t="s">
        <v>21</v>
      </c>
      <c r="D26" s="1" t="s">
        <v>73</v>
      </c>
      <c r="E26" s="1" t="s">
        <v>21</v>
      </c>
      <c r="F26" s="1">
        <v>30000</v>
      </c>
      <c r="G26" s="1" t="s">
        <v>55</v>
      </c>
      <c r="H26" s="1" t="s">
        <v>56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>
        <v>46259</v>
      </c>
      <c r="B27" s="1" t="str">
        <f t="shared" si="0"/>
        <v>Aug 2026</v>
      </c>
      <c r="C27" s="1" t="s">
        <v>22</v>
      </c>
      <c r="D27" s="1" t="s">
        <v>74</v>
      </c>
      <c r="E27" s="1" t="s">
        <v>75</v>
      </c>
      <c r="F27" s="1">
        <v>25000</v>
      </c>
      <c r="G27" s="1" t="s">
        <v>55</v>
      </c>
      <c r="H27" s="1" t="s">
        <v>56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>
        <v>46261</v>
      </c>
      <c r="B28" s="1" t="str">
        <f t="shared" si="0"/>
        <v>Aug 2026</v>
      </c>
      <c r="C28" s="1" t="s">
        <v>23</v>
      </c>
      <c r="D28" s="1" t="s">
        <v>76</v>
      </c>
      <c r="E28" s="1" t="s">
        <v>23</v>
      </c>
      <c r="F28" s="1">
        <v>17000</v>
      </c>
      <c r="G28" s="1" t="s">
        <v>63</v>
      </c>
      <c r="H28" s="1" t="s">
        <v>56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>
        <v>46263</v>
      </c>
      <c r="B29" s="1" t="str">
        <f t="shared" si="0"/>
        <v>Aug 2026</v>
      </c>
      <c r="C29" s="1" t="s">
        <v>24</v>
      </c>
      <c r="D29" s="1" t="s">
        <v>77</v>
      </c>
      <c r="E29" s="1" t="s">
        <v>24</v>
      </c>
      <c r="F29" s="1">
        <v>15000</v>
      </c>
      <c r="G29" s="1" t="s">
        <v>63</v>
      </c>
      <c r="H29" s="1" t="s">
        <v>56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 t="str">
        <f t="shared" si="0"/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 t="str">
        <f t="shared" si="0"/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 t="str">
        <f t="shared" si="0"/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 t="str">
        <f t="shared" si="0"/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 t="str">
        <f t="shared" si="0"/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 t="str">
        <f t="shared" si="0"/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 t="str">
        <f t="shared" si="0"/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 t="str">
        <f t="shared" si="0"/>
        <v/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 t="str">
        <f t="shared" si="0"/>
        <v/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 t="str">
        <f t="shared" si="0"/>
        <v/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 t="str">
        <f t="shared" si="0"/>
        <v/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 t="str">
        <f t="shared" si="0"/>
        <v/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 t="str">
        <f t="shared" si="0"/>
        <v/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 t="str">
        <f t="shared" si="0"/>
        <v/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 t="str">
        <f t="shared" si="0"/>
        <v/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 t="str">
        <f t="shared" si="0"/>
        <v/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 t="str">
        <f t="shared" si="0"/>
        <v/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 t="str">
        <f t="shared" si="0"/>
        <v/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 t="str">
        <f t="shared" si="0"/>
        <v/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 t="str">
        <f t="shared" si="0"/>
        <v/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 t="str">
        <f t="shared" si="0"/>
        <v/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 t="str">
        <f t="shared" si="0"/>
        <v/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 t="str">
        <f t="shared" si="0"/>
        <v/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 t="str">
        <f t="shared" si="0"/>
        <v/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 t="str">
        <f t="shared" si="0"/>
        <v/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 t="str">
        <f t="shared" si="0"/>
        <v/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 t="str">
        <f t="shared" si="0"/>
        <v/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 t="str">
        <f t="shared" si="0"/>
        <v/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 t="str">
        <f t="shared" si="0"/>
        <v/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 t="str">
        <f t="shared" si="0"/>
        <v/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 t="str">
        <f t="shared" si="0"/>
        <v/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25">
      <c r="B61" t="str">
        <f t="shared" si="0"/>
        <v/>
      </c>
    </row>
    <row r="62" spans="1:26" ht="15" customHeight="1" x14ac:dyDescent="0.25">
      <c r="B62" t="str">
        <f t="shared" si="0"/>
        <v/>
      </c>
    </row>
    <row r="63" spans="1:26" ht="15" customHeight="1" x14ac:dyDescent="0.25">
      <c r="B63" t="str">
        <f t="shared" si="0"/>
        <v/>
      </c>
    </row>
    <row r="64" spans="1:26" ht="15" customHeight="1" x14ac:dyDescent="0.25">
      <c r="B64" t="str">
        <f t="shared" si="0"/>
        <v/>
      </c>
    </row>
    <row r="65" spans="2:2" ht="15" customHeight="1" x14ac:dyDescent="0.25">
      <c r="B65" t="str">
        <f t="shared" si="0"/>
        <v/>
      </c>
    </row>
    <row r="66" spans="2:2" ht="15" customHeight="1" x14ac:dyDescent="0.25">
      <c r="B66" t="str">
        <f t="shared" si="0"/>
        <v/>
      </c>
    </row>
    <row r="67" spans="2:2" ht="15" customHeight="1" x14ac:dyDescent="0.25">
      <c r="B67" t="str">
        <f t="shared" si="0"/>
        <v/>
      </c>
    </row>
    <row r="68" spans="2:2" ht="15" customHeight="1" x14ac:dyDescent="0.25">
      <c r="B68" t="str">
        <f t="shared" ref="B68:B131" si="1">IF(A68="","",TEXT(A68,"mmm yyyy"))</f>
        <v/>
      </c>
    </row>
    <row r="69" spans="2:2" ht="15" customHeight="1" x14ac:dyDescent="0.25">
      <c r="B69" t="str">
        <f t="shared" si="1"/>
        <v/>
      </c>
    </row>
    <row r="70" spans="2:2" ht="15" customHeight="1" x14ac:dyDescent="0.25">
      <c r="B70" t="str">
        <f t="shared" si="1"/>
        <v/>
      </c>
    </row>
    <row r="71" spans="2:2" ht="15" customHeight="1" x14ac:dyDescent="0.25">
      <c r="B71" t="str">
        <f t="shared" si="1"/>
        <v/>
      </c>
    </row>
    <row r="72" spans="2:2" ht="15" customHeight="1" x14ac:dyDescent="0.25">
      <c r="B72" t="str">
        <f t="shared" si="1"/>
        <v/>
      </c>
    </row>
    <row r="73" spans="2:2" ht="15" customHeight="1" x14ac:dyDescent="0.25">
      <c r="B73" t="str">
        <f t="shared" si="1"/>
        <v/>
      </c>
    </row>
    <row r="74" spans="2:2" ht="15" customHeight="1" x14ac:dyDescent="0.25">
      <c r="B74" t="str">
        <f t="shared" si="1"/>
        <v/>
      </c>
    </row>
    <row r="75" spans="2:2" ht="15" customHeight="1" x14ac:dyDescent="0.25">
      <c r="B75" t="str">
        <f t="shared" si="1"/>
        <v/>
      </c>
    </row>
    <row r="76" spans="2:2" ht="15" customHeight="1" x14ac:dyDescent="0.25">
      <c r="B76" t="str">
        <f t="shared" si="1"/>
        <v/>
      </c>
    </row>
    <row r="77" spans="2:2" ht="15" customHeight="1" x14ac:dyDescent="0.25">
      <c r="B77" t="str">
        <f t="shared" si="1"/>
        <v/>
      </c>
    </row>
    <row r="78" spans="2:2" ht="15" customHeight="1" x14ac:dyDescent="0.25">
      <c r="B78" t="str">
        <f t="shared" si="1"/>
        <v/>
      </c>
    </row>
    <row r="79" spans="2:2" ht="15" customHeight="1" x14ac:dyDescent="0.25">
      <c r="B79" t="str">
        <f t="shared" si="1"/>
        <v/>
      </c>
    </row>
    <row r="80" spans="2:2" ht="15" customHeight="1" x14ac:dyDescent="0.25">
      <c r="B80" t="str">
        <f t="shared" si="1"/>
        <v/>
      </c>
    </row>
    <row r="81" spans="2:2" ht="15" customHeight="1" x14ac:dyDescent="0.25">
      <c r="B81" t="str">
        <f t="shared" si="1"/>
        <v/>
      </c>
    </row>
    <row r="82" spans="2:2" ht="15" customHeight="1" x14ac:dyDescent="0.25">
      <c r="B82" t="str">
        <f t="shared" si="1"/>
        <v/>
      </c>
    </row>
    <row r="83" spans="2:2" ht="15" customHeight="1" x14ac:dyDescent="0.25">
      <c r="B83" t="str">
        <f t="shared" si="1"/>
        <v/>
      </c>
    </row>
    <row r="84" spans="2:2" ht="15" customHeight="1" x14ac:dyDescent="0.25">
      <c r="B84" t="str">
        <f t="shared" si="1"/>
        <v/>
      </c>
    </row>
    <row r="85" spans="2:2" ht="15" customHeight="1" x14ac:dyDescent="0.25">
      <c r="B85" t="str">
        <f t="shared" si="1"/>
        <v/>
      </c>
    </row>
    <row r="86" spans="2:2" ht="15" customHeight="1" x14ac:dyDescent="0.25">
      <c r="B86" t="str">
        <f t="shared" si="1"/>
        <v/>
      </c>
    </row>
    <row r="87" spans="2:2" ht="15" customHeight="1" x14ac:dyDescent="0.25">
      <c r="B87" t="str">
        <f t="shared" si="1"/>
        <v/>
      </c>
    </row>
    <row r="88" spans="2:2" ht="15" customHeight="1" x14ac:dyDescent="0.25">
      <c r="B88" t="str">
        <f t="shared" si="1"/>
        <v/>
      </c>
    </row>
    <row r="89" spans="2:2" ht="15" customHeight="1" x14ac:dyDescent="0.25">
      <c r="B89" t="str">
        <f t="shared" si="1"/>
        <v/>
      </c>
    </row>
    <row r="90" spans="2:2" ht="15" customHeight="1" x14ac:dyDescent="0.25">
      <c r="B90" t="str">
        <f t="shared" si="1"/>
        <v/>
      </c>
    </row>
    <row r="91" spans="2:2" ht="15" customHeight="1" x14ac:dyDescent="0.25">
      <c r="B91" t="str">
        <f t="shared" si="1"/>
        <v/>
      </c>
    </row>
    <row r="92" spans="2:2" ht="15" customHeight="1" x14ac:dyDescent="0.25">
      <c r="B92" t="str">
        <f t="shared" si="1"/>
        <v/>
      </c>
    </row>
    <row r="93" spans="2:2" ht="15" customHeight="1" x14ac:dyDescent="0.25">
      <c r="B93" t="str">
        <f t="shared" si="1"/>
        <v/>
      </c>
    </row>
    <row r="94" spans="2:2" ht="15" customHeight="1" x14ac:dyDescent="0.25">
      <c r="B94" t="str">
        <f t="shared" si="1"/>
        <v/>
      </c>
    </row>
    <row r="95" spans="2:2" ht="15" customHeight="1" x14ac:dyDescent="0.25">
      <c r="B95" t="str">
        <f t="shared" si="1"/>
        <v/>
      </c>
    </row>
    <row r="96" spans="2:2" ht="15" customHeight="1" x14ac:dyDescent="0.25">
      <c r="B96" t="str">
        <f t="shared" si="1"/>
        <v/>
      </c>
    </row>
    <row r="97" spans="2:2" ht="15" customHeight="1" x14ac:dyDescent="0.25">
      <c r="B97" t="str">
        <f t="shared" si="1"/>
        <v/>
      </c>
    </row>
    <row r="98" spans="2:2" ht="15" customHeight="1" x14ac:dyDescent="0.25">
      <c r="B98" t="str">
        <f t="shared" si="1"/>
        <v/>
      </c>
    </row>
    <row r="99" spans="2:2" ht="15" customHeight="1" x14ac:dyDescent="0.25">
      <c r="B99" t="str">
        <f t="shared" si="1"/>
        <v/>
      </c>
    </row>
    <row r="100" spans="2:2" ht="15" customHeight="1" x14ac:dyDescent="0.25">
      <c r="B100" t="str">
        <f t="shared" si="1"/>
        <v/>
      </c>
    </row>
    <row r="101" spans="2:2" ht="15" customHeight="1" x14ac:dyDescent="0.25">
      <c r="B101" t="str">
        <f t="shared" si="1"/>
        <v/>
      </c>
    </row>
    <row r="102" spans="2:2" ht="15" customHeight="1" x14ac:dyDescent="0.25">
      <c r="B102" t="str">
        <f t="shared" si="1"/>
        <v/>
      </c>
    </row>
    <row r="103" spans="2:2" ht="15" customHeight="1" x14ac:dyDescent="0.25">
      <c r="B103" t="str">
        <f t="shared" si="1"/>
        <v/>
      </c>
    </row>
    <row r="104" spans="2:2" ht="15" customHeight="1" x14ac:dyDescent="0.25">
      <c r="B104" t="str">
        <f t="shared" si="1"/>
        <v/>
      </c>
    </row>
    <row r="105" spans="2:2" ht="15" customHeight="1" x14ac:dyDescent="0.25">
      <c r="B105" t="str">
        <f t="shared" si="1"/>
        <v/>
      </c>
    </row>
    <row r="106" spans="2:2" ht="15" customHeight="1" x14ac:dyDescent="0.25">
      <c r="B106" t="str">
        <f t="shared" si="1"/>
        <v/>
      </c>
    </row>
    <row r="107" spans="2:2" ht="15" customHeight="1" x14ac:dyDescent="0.25">
      <c r="B107" t="str">
        <f t="shared" si="1"/>
        <v/>
      </c>
    </row>
    <row r="108" spans="2:2" ht="15" customHeight="1" x14ac:dyDescent="0.25">
      <c r="B108" t="str">
        <f t="shared" si="1"/>
        <v/>
      </c>
    </row>
    <row r="109" spans="2:2" ht="15" customHeight="1" x14ac:dyDescent="0.25">
      <c r="B109" t="str">
        <f t="shared" si="1"/>
        <v/>
      </c>
    </row>
    <row r="110" spans="2:2" ht="15" customHeight="1" x14ac:dyDescent="0.25">
      <c r="B110" t="str">
        <f t="shared" si="1"/>
        <v/>
      </c>
    </row>
    <row r="111" spans="2:2" ht="15" customHeight="1" x14ac:dyDescent="0.25">
      <c r="B111" t="str">
        <f t="shared" si="1"/>
        <v/>
      </c>
    </row>
    <row r="112" spans="2:2" ht="15" customHeight="1" x14ac:dyDescent="0.25">
      <c r="B112" t="str">
        <f t="shared" si="1"/>
        <v/>
      </c>
    </row>
    <row r="113" spans="2:2" ht="15" customHeight="1" x14ac:dyDescent="0.25">
      <c r="B113" t="str">
        <f t="shared" si="1"/>
        <v/>
      </c>
    </row>
    <row r="114" spans="2:2" ht="15" customHeight="1" x14ac:dyDescent="0.25">
      <c r="B114" t="str">
        <f t="shared" si="1"/>
        <v/>
      </c>
    </row>
    <row r="115" spans="2:2" ht="15" customHeight="1" x14ac:dyDescent="0.25">
      <c r="B115" t="str">
        <f t="shared" si="1"/>
        <v/>
      </c>
    </row>
    <row r="116" spans="2:2" ht="15" customHeight="1" x14ac:dyDescent="0.25">
      <c r="B116" t="str">
        <f t="shared" si="1"/>
        <v/>
      </c>
    </row>
    <row r="117" spans="2:2" ht="15" customHeight="1" x14ac:dyDescent="0.25">
      <c r="B117" t="str">
        <f t="shared" si="1"/>
        <v/>
      </c>
    </row>
    <row r="118" spans="2:2" ht="15" customHeight="1" x14ac:dyDescent="0.25">
      <c r="B118" t="str">
        <f t="shared" si="1"/>
        <v/>
      </c>
    </row>
    <row r="119" spans="2:2" ht="15" customHeight="1" x14ac:dyDescent="0.25">
      <c r="B119" t="str">
        <f t="shared" si="1"/>
        <v/>
      </c>
    </row>
    <row r="120" spans="2:2" ht="15" customHeight="1" x14ac:dyDescent="0.25">
      <c r="B120" t="str">
        <f t="shared" si="1"/>
        <v/>
      </c>
    </row>
    <row r="121" spans="2:2" ht="15" customHeight="1" x14ac:dyDescent="0.25">
      <c r="B121" t="str">
        <f t="shared" si="1"/>
        <v/>
      </c>
    </row>
    <row r="122" spans="2:2" ht="15" customHeight="1" x14ac:dyDescent="0.25">
      <c r="B122" t="str">
        <f t="shared" si="1"/>
        <v/>
      </c>
    </row>
    <row r="123" spans="2:2" ht="15" customHeight="1" x14ac:dyDescent="0.25">
      <c r="B123" t="str">
        <f t="shared" si="1"/>
        <v/>
      </c>
    </row>
    <row r="124" spans="2:2" ht="15" customHeight="1" x14ac:dyDescent="0.25">
      <c r="B124" t="str">
        <f t="shared" si="1"/>
        <v/>
      </c>
    </row>
    <row r="125" spans="2:2" ht="15" customHeight="1" x14ac:dyDescent="0.25">
      <c r="B125" t="str">
        <f t="shared" si="1"/>
        <v/>
      </c>
    </row>
    <row r="126" spans="2:2" ht="15" customHeight="1" x14ac:dyDescent="0.25">
      <c r="B126" t="str">
        <f t="shared" si="1"/>
        <v/>
      </c>
    </row>
    <row r="127" spans="2:2" ht="15" customHeight="1" x14ac:dyDescent="0.25">
      <c r="B127" t="str">
        <f t="shared" si="1"/>
        <v/>
      </c>
    </row>
    <row r="128" spans="2:2" ht="15" customHeight="1" x14ac:dyDescent="0.25">
      <c r="B128" t="str">
        <f t="shared" si="1"/>
        <v/>
      </c>
    </row>
    <row r="129" spans="2:2" ht="15" customHeight="1" x14ac:dyDescent="0.25">
      <c r="B129" t="str">
        <f t="shared" si="1"/>
        <v/>
      </c>
    </row>
    <row r="130" spans="2:2" ht="15" customHeight="1" x14ac:dyDescent="0.25">
      <c r="B130" t="str">
        <f t="shared" si="1"/>
        <v/>
      </c>
    </row>
    <row r="131" spans="2:2" ht="15" customHeight="1" x14ac:dyDescent="0.25">
      <c r="B131" t="str">
        <f t="shared" si="1"/>
        <v/>
      </c>
    </row>
    <row r="132" spans="2:2" ht="15" customHeight="1" x14ac:dyDescent="0.25">
      <c r="B132" t="str">
        <f t="shared" ref="B132:B195" si="2">IF(A132="","",TEXT(A132,"mmm yyyy"))</f>
        <v/>
      </c>
    </row>
    <row r="133" spans="2:2" ht="15" customHeight="1" x14ac:dyDescent="0.25">
      <c r="B133" t="str">
        <f t="shared" si="2"/>
        <v/>
      </c>
    </row>
    <row r="134" spans="2:2" ht="15" customHeight="1" x14ac:dyDescent="0.25">
      <c r="B134" t="str">
        <f t="shared" si="2"/>
        <v/>
      </c>
    </row>
    <row r="135" spans="2:2" ht="15" customHeight="1" x14ac:dyDescent="0.25">
      <c r="B135" t="str">
        <f t="shared" si="2"/>
        <v/>
      </c>
    </row>
    <row r="136" spans="2:2" ht="15" customHeight="1" x14ac:dyDescent="0.25">
      <c r="B136" t="str">
        <f t="shared" si="2"/>
        <v/>
      </c>
    </row>
    <row r="137" spans="2:2" ht="15" customHeight="1" x14ac:dyDescent="0.25">
      <c r="B137" t="str">
        <f t="shared" si="2"/>
        <v/>
      </c>
    </row>
    <row r="138" spans="2:2" ht="15" customHeight="1" x14ac:dyDescent="0.25">
      <c r="B138" t="str">
        <f t="shared" si="2"/>
        <v/>
      </c>
    </row>
    <row r="139" spans="2:2" ht="15" customHeight="1" x14ac:dyDescent="0.25">
      <c r="B139" t="str">
        <f t="shared" si="2"/>
        <v/>
      </c>
    </row>
    <row r="140" spans="2:2" ht="15" customHeight="1" x14ac:dyDescent="0.25">
      <c r="B140" t="str">
        <f t="shared" si="2"/>
        <v/>
      </c>
    </row>
    <row r="141" spans="2:2" ht="15" customHeight="1" x14ac:dyDescent="0.25">
      <c r="B141" t="str">
        <f t="shared" si="2"/>
        <v/>
      </c>
    </row>
    <row r="142" spans="2:2" ht="15" customHeight="1" x14ac:dyDescent="0.25">
      <c r="B142" t="str">
        <f t="shared" si="2"/>
        <v/>
      </c>
    </row>
    <row r="143" spans="2:2" ht="15" customHeight="1" x14ac:dyDescent="0.25">
      <c r="B143" t="str">
        <f t="shared" si="2"/>
        <v/>
      </c>
    </row>
    <row r="144" spans="2:2" ht="15" customHeight="1" x14ac:dyDescent="0.25">
      <c r="B144" t="str">
        <f t="shared" si="2"/>
        <v/>
      </c>
    </row>
    <row r="145" spans="2:2" ht="15" customHeight="1" x14ac:dyDescent="0.25">
      <c r="B145" t="str">
        <f t="shared" si="2"/>
        <v/>
      </c>
    </row>
    <row r="146" spans="2:2" ht="15" customHeight="1" x14ac:dyDescent="0.25">
      <c r="B146" t="str">
        <f t="shared" si="2"/>
        <v/>
      </c>
    </row>
    <row r="147" spans="2:2" ht="15" customHeight="1" x14ac:dyDescent="0.25">
      <c r="B147" t="str">
        <f t="shared" si="2"/>
        <v/>
      </c>
    </row>
    <row r="148" spans="2:2" ht="15" customHeight="1" x14ac:dyDescent="0.25">
      <c r="B148" t="str">
        <f t="shared" si="2"/>
        <v/>
      </c>
    </row>
    <row r="149" spans="2:2" ht="15" customHeight="1" x14ac:dyDescent="0.25">
      <c r="B149" t="str">
        <f t="shared" si="2"/>
        <v/>
      </c>
    </row>
    <row r="150" spans="2:2" ht="15" customHeight="1" x14ac:dyDescent="0.25">
      <c r="B150" t="str">
        <f t="shared" si="2"/>
        <v/>
      </c>
    </row>
    <row r="151" spans="2:2" ht="15" customHeight="1" x14ac:dyDescent="0.25">
      <c r="B151" t="str">
        <f t="shared" si="2"/>
        <v/>
      </c>
    </row>
    <row r="152" spans="2:2" ht="15" customHeight="1" x14ac:dyDescent="0.25">
      <c r="B152" t="str">
        <f t="shared" si="2"/>
        <v/>
      </c>
    </row>
    <row r="153" spans="2:2" ht="15" customHeight="1" x14ac:dyDescent="0.25">
      <c r="B153" t="str">
        <f t="shared" si="2"/>
        <v/>
      </c>
    </row>
    <row r="154" spans="2:2" ht="15" customHeight="1" x14ac:dyDescent="0.25">
      <c r="B154" t="str">
        <f t="shared" si="2"/>
        <v/>
      </c>
    </row>
    <row r="155" spans="2:2" ht="15" customHeight="1" x14ac:dyDescent="0.25">
      <c r="B155" t="str">
        <f t="shared" si="2"/>
        <v/>
      </c>
    </row>
    <row r="156" spans="2:2" ht="15" customHeight="1" x14ac:dyDescent="0.25">
      <c r="B156" t="str">
        <f t="shared" si="2"/>
        <v/>
      </c>
    </row>
    <row r="157" spans="2:2" ht="15" customHeight="1" x14ac:dyDescent="0.25">
      <c r="B157" t="str">
        <f t="shared" si="2"/>
        <v/>
      </c>
    </row>
    <row r="158" spans="2:2" ht="15" customHeight="1" x14ac:dyDescent="0.25">
      <c r="B158" t="str">
        <f t="shared" si="2"/>
        <v/>
      </c>
    </row>
    <row r="159" spans="2:2" ht="15" customHeight="1" x14ac:dyDescent="0.25">
      <c r="B159" t="str">
        <f t="shared" si="2"/>
        <v/>
      </c>
    </row>
    <row r="160" spans="2:2" ht="15" customHeight="1" x14ac:dyDescent="0.25">
      <c r="B160" t="str">
        <f t="shared" si="2"/>
        <v/>
      </c>
    </row>
    <row r="161" spans="2:2" ht="15" customHeight="1" x14ac:dyDescent="0.25">
      <c r="B161" t="str">
        <f t="shared" si="2"/>
        <v/>
      </c>
    </row>
    <row r="162" spans="2:2" ht="15" customHeight="1" x14ac:dyDescent="0.25">
      <c r="B162" t="str">
        <f t="shared" si="2"/>
        <v/>
      </c>
    </row>
    <row r="163" spans="2:2" ht="15" customHeight="1" x14ac:dyDescent="0.25">
      <c r="B163" t="str">
        <f t="shared" si="2"/>
        <v/>
      </c>
    </row>
    <row r="164" spans="2:2" ht="15" customHeight="1" x14ac:dyDescent="0.25">
      <c r="B164" t="str">
        <f t="shared" si="2"/>
        <v/>
      </c>
    </row>
    <row r="165" spans="2:2" ht="15" customHeight="1" x14ac:dyDescent="0.25">
      <c r="B165" t="str">
        <f t="shared" si="2"/>
        <v/>
      </c>
    </row>
    <row r="166" spans="2:2" ht="15" customHeight="1" x14ac:dyDescent="0.25">
      <c r="B166" t="str">
        <f t="shared" si="2"/>
        <v/>
      </c>
    </row>
    <row r="167" spans="2:2" ht="15" customHeight="1" x14ac:dyDescent="0.25">
      <c r="B167" t="str">
        <f t="shared" si="2"/>
        <v/>
      </c>
    </row>
    <row r="168" spans="2:2" ht="15" customHeight="1" x14ac:dyDescent="0.25">
      <c r="B168" t="str">
        <f t="shared" si="2"/>
        <v/>
      </c>
    </row>
    <row r="169" spans="2:2" ht="15" customHeight="1" x14ac:dyDescent="0.25">
      <c r="B169" t="str">
        <f t="shared" si="2"/>
        <v/>
      </c>
    </row>
    <row r="170" spans="2:2" ht="15" customHeight="1" x14ac:dyDescent="0.25">
      <c r="B170" t="str">
        <f t="shared" si="2"/>
        <v/>
      </c>
    </row>
    <row r="171" spans="2:2" ht="15" customHeight="1" x14ac:dyDescent="0.25">
      <c r="B171" t="str">
        <f t="shared" si="2"/>
        <v/>
      </c>
    </row>
    <row r="172" spans="2:2" ht="15" customHeight="1" x14ac:dyDescent="0.25">
      <c r="B172" t="str">
        <f t="shared" si="2"/>
        <v/>
      </c>
    </row>
    <row r="173" spans="2:2" ht="15" customHeight="1" x14ac:dyDescent="0.25">
      <c r="B173" t="str">
        <f t="shared" si="2"/>
        <v/>
      </c>
    </row>
    <row r="174" spans="2:2" ht="15" customHeight="1" x14ac:dyDescent="0.25">
      <c r="B174" t="str">
        <f t="shared" si="2"/>
        <v/>
      </c>
    </row>
    <row r="175" spans="2:2" ht="15" customHeight="1" x14ac:dyDescent="0.25">
      <c r="B175" t="str">
        <f t="shared" si="2"/>
        <v/>
      </c>
    </row>
    <row r="176" spans="2:2" ht="15" customHeight="1" x14ac:dyDescent="0.25">
      <c r="B176" t="str">
        <f t="shared" si="2"/>
        <v/>
      </c>
    </row>
    <row r="177" spans="2:2" ht="15" customHeight="1" x14ac:dyDescent="0.25">
      <c r="B177" t="str">
        <f t="shared" si="2"/>
        <v/>
      </c>
    </row>
    <row r="178" spans="2:2" ht="15" customHeight="1" x14ac:dyDescent="0.25">
      <c r="B178" t="str">
        <f t="shared" si="2"/>
        <v/>
      </c>
    </row>
    <row r="179" spans="2:2" ht="15" customHeight="1" x14ac:dyDescent="0.25">
      <c r="B179" t="str">
        <f t="shared" si="2"/>
        <v/>
      </c>
    </row>
    <row r="180" spans="2:2" ht="15" customHeight="1" x14ac:dyDescent="0.25">
      <c r="B180" t="str">
        <f t="shared" si="2"/>
        <v/>
      </c>
    </row>
    <row r="181" spans="2:2" ht="15" customHeight="1" x14ac:dyDescent="0.25">
      <c r="B181" t="str">
        <f t="shared" si="2"/>
        <v/>
      </c>
    </row>
    <row r="182" spans="2:2" ht="15" customHeight="1" x14ac:dyDescent="0.25">
      <c r="B182" t="str">
        <f t="shared" si="2"/>
        <v/>
      </c>
    </row>
    <row r="183" spans="2:2" ht="15" customHeight="1" x14ac:dyDescent="0.25">
      <c r="B183" t="str">
        <f t="shared" si="2"/>
        <v/>
      </c>
    </row>
    <row r="184" spans="2:2" ht="15" customHeight="1" x14ac:dyDescent="0.25">
      <c r="B184" t="str">
        <f t="shared" si="2"/>
        <v/>
      </c>
    </row>
    <row r="185" spans="2:2" ht="15" customHeight="1" x14ac:dyDescent="0.25">
      <c r="B185" t="str">
        <f t="shared" si="2"/>
        <v/>
      </c>
    </row>
    <row r="186" spans="2:2" ht="15" customHeight="1" x14ac:dyDescent="0.25">
      <c r="B186" t="str">
        <f t="shared" si="2"/>
        <v/>
      </c>
    </row>
    <row r="187" spans="2:2" ht="15" customHeight="1" x14ac:dyDescent="0.25">
      <c r="B187" t="str">
        <f t="shared" si="2"/>
        <v/>
      </c>
    </row>
    <row r="188" spans="2:2" ht="15" customHeight="1" x14ac:dyDescent="0.25">
      <c r="B188" t="str">
        <f t="shared" si="2"/>
        <v/>
      </c>
    </row>
    <row r="189" spans="2:2" ht="15" customHeight="1" x14ac:dyDescent="0.25">
      <c r="B189" t="str">
        <f t="shared" si="2"/>
        <v/>
      </c>
    </row>
    <row r="190" spans="2:2" ht="15" customHeight="1" x14ac:dyDescent="0.25">
      <c r="B190" t="str">
        <f t="shared" si="2"/>
        <v/>
      </c>
    </row>
    <row r="191" spans="2:2" ht="15" customHeight="1" x14ac:dyDescent="0.25">
      <c r="B191" t="str">
        <f t="shared" si="2"/>
        <v/>
      </c>
    </row>
    <row r="192" spans="2:2" ht="15" customHeight="1" x14ac:dyDescent="0.25">
      <c r="B192" t="str">
        <f t="shared" si="2"/>
        <v/>
      </c>
    </row>
    <row r="193" spans="2:2" ht="15" customHeight="1" x14ac:dyDescent="0.25">
      <c r="B193" t="str">
        <f t="shared" si="2"/>
        <v/>
      </c>
    </row>
    <row r="194" spans="2:2" ht="15" customHeight="1" x14ac:dyDescent="0.25">
      <c r="B194" t="str">
        <f t="shared" si="2"/>
        <v/>
      </c>
    </row>
    <row r="195" spans="2:2" ht="15" customHeight="1" x14ac:dyDescent="0.25">
      <c r="B195" t="str">
        <f t="shared" si="2"/>
        <v/>
      </c>
    </row>
    <row r="196" spans="2:2" ht="15" customHeight="1" x14ac:dyDescent="0.25">
      <c r="B196" t="str">
        <f t="shared" ref="B196:B259" si="3">IF(A196="","",TEXT(A196,"mmm yyyy"))</f>
        <v/>
      </c>
    </row>
    <row r="197" spans="2:2" ht="15" customHeight="1" x14ac:dyDescent="0.25">
      <c r="B197" t="str">
        <f t="shared" si="3"/>
        <v/>
      </c>
    </row>
    <row r="198" spans="2:2" ht="15" customHeight="1" x14ac:dyDescent="0.25">
      <c r="B198" t="str">
        <f t="shared" si="3"/>
        <v/>
      </c>
    </row>
    <row r="199" spans="2:2" ht="15" customHeight="1" x14ac:dyDescent="0.25">
      <c r="B199" t="str">
        <f t="shared" si="3"/>
        <v/>
      </c>
    </row>
    <row r="200" spans="2:2" ht="15" customHeight="1" x14ac:dyDescent="0.25">
      <c r="B200" t="str">
        <f t="shared" si="3"/>
        <v/>
      </c>
    </row>
    <row r="201" spans="2:2" ht="15" customHeight="1" x14ac:dyDescent="0.25">
      <c r="B201" t="str">
        <f t="shared" si="3"/>
        <v/>
      </c>
    </row>
    <row r="202" spans="2:2" ht="15" customHeight="1" x14ac:dyDescent="0.25">
      <c r="B202" t="str">
        <f t="shared" si="3"/>
        <v/>
      </c>
    </row>
    <row r="203" spans="2:2" ht="15" customHeight="1" x14ac:dyDescent="0.25">
      <c r="B203" t="str">
        <f t="shared" si="3"/>
        <v/>
      </c>
    </row>
    <row r="204" spans="2:2" ht="15" customHeight="1" x14ac:dyDescent="0.25">
      <c r="B204" t="str">
        <f t="shared" si="3"/>
        <v/>
      </c>
    </row>
    <row r="205" spans="2:2" ht="15" customHeight="1" x14ac:dyDescent="0.25">
      <c r="B205" t="str">
        <f t="shared" si="3"/>
        <v/>
      </c>
    </row>
    <row r="206" spans="2:2" ht="15" customHeight="1" x14ac:dyDescent="0.25">
      <c r="B206" t="str">
        <f t="shared" si="3"/>
        <v/>
      </c>
    </row>
    <row r="207" spans="2:2" ht="15" customHeight="1" x14ac:dyDescent="0.25">
      <c r="B207" t="str">
        <f t="shared" si="3"/>
        <v/>
      </c>
    </row>
    <row r="208" spans="2:2" ht="15" customHeight="1" x14ac:dyDescent="0.25">
      <c r="B208" t="str">
        <f t="shared" si="3"/>
        <v/>
      </c>
    </row>
    <row r="209" spans="2:2" ht="15" customHeight="1" x14ac:dyDescent="0.25">
      <c r="B209" t="str">
        <f t="shared" si="3"/>
        <v/>
      </c>
    </row>
    <row r="210" spans="2:2" ht="15" customHeight="1" x14ac:dyDescent="0.25">
      <c r="B210" t="str">
        <f t="shared" si="3"/>
        <v/>
      </c>
    </row>
    <row r="211" spans="2:2" ht="15" customHeight="1" x14ac:dyDescent="0.25">
      <c r="B211" t="str">
        <f t="shared" si="3"/>
        <v/>
      </c>
    </row>
    <row r="212" spans="2:2" ht="15" customHeight="1" x14ac:dyDescent="0.25">
      <c r="B212" t="str">
        <f t="shared" si="3"/>
        <v/>
      </c>
    </row>
    <row r="213" spans="2:2" ht="15" customHeight="1" x14ac:dyDescent="0.25">
      <c r="B213" t="str">
        <f t="shared" si="3"/>
        <v/>
      </c>
    </row>
    <row r="214" spans="2:2" ht="15" customHeight="1" x14ac:dyDescent="0.25">
      <c r="B214" t="str">
        <f t="shared" si="3"/>
        <v/>
      </c>
    </row>
    <row r="215" spans="2:2" ht="15" customHeight="1" x14ac:dyDescent="0.25">
      <c r="B215" t="str">
        <f t="shared" si="3"/>
        <v/>
      </c>
    </row>
    <row r="216" spans="2:2" ht="15" customHeight="1" x14ac:dyDescent="0.25">
      <c r="B216" t="str">
        <f t="shared" si="3"/>
        <v/>
      </c>
    </row>
    <row r="217" spans="2:2" ht="15" customHeight="1" x14ac:dyDescent="0.25">
      <c r="B217" t="str">
        <f t="shared" si="3"/>
        <v/>
      </c>
    </row>
    <row r="218" spans="2:2" ht="15" customHeight="1" x14ac:dyDescent="0.25">
      <c r="B218" t="str">
        <f t="shared" si="3"/>
        <v/>
      </c>
    </row>
    <row r="219" spans="2:2" ht="15" customHeight="1" x14ac:dyDescent="0.25">
      <c r="B219" t="str">
        <f t="shared" si="3"/>
        <v/>
      </c>
    </row>
    <row r="220" spans="2:2" ht="15" customHeight="1" x14ac:dyDescent="0.25">
      <c r="B220" t="str">
        <f t="shared" si="3"/>
        <v/>
      </c>
    </row>
    <row r="221" spans="2:2" ht="15" customHeight="1" x14ac:dyDescent="0.25">
      <c r="B221" t="str">
        <f t="shared" si="3"/>
        <v/>
      </c>
    </row>
    <row r="222" spans="2:2" ht="15" customHeight="1" x14ac:dyDescent="0.25">
      <c r="B222" t="str">
        <f t="shared" si="3"/>
        <v/>
      </c>
    </row>
    <row r="223" spans="2:2" ht="15" customHeight="1" x14ac:dyDescent="0.25">
      <c r="B223" t="str">
        <f t="shared" si="3"/>
        <v/>
      </c>
    </row>
    <row r="224" spans="2:2" ht="15" customHeight="1" x14ac:dyDescent="0.25">
      <c r="B224" t="str">
        <f t="shared" si="3"/>
        <v/>
      </c>
    </row>
    <row r="225" spans="2:2" ht="15" customHeight="1" x14ac:dyDescent="0.25">
      <c r="B225" t="str">
        <f t="shared" si="3"/>
        <v/>
      </c>
    </row>
    <row r="226" spans="2:2" ht="15" customHeight="1" x14ac:dyDescent="0.25">
      <c r="B226" t="str">
        <f t="shared" si="3"/>
        <v/>
      </c>
    </row>
    <row r="227" spans="2:2" ht="15" customHeight="1" x14ac:dyDescent="0.25">
      <c r="B227" t="str">
        <f t="shared" si="3"/>
        <v/>
      </c>
    </row>
    <row r="228" spans="2:2" ht="15" customHeight="1" x14ac:dyDescent="0.25">
      <c r="B228" t="str">
        <f t="shared" si="3"/>
        <v/>
      </c>
    </row>
    <row r="229" spans="2:2" ht="15" customHeight="1" x14ac:dyDescent="0.25">
      <c r="B229" t="str">
        <f t="shared" si="3"/>
        <v/>
      </c>
    </row>
    <row r="230" spans="2:2" ht="15" customHeight="1" x14ac:dyDescent="0.25">
      <c r="B230" t="str">
        <f t="shared" si="3"/>
        <v/>
      </c>
    </row>
    <row r="231" spans="2:2" ht="15" customHeight="1" x14ac:dyDescent="0.25">
      <c r="B231" t="str">
        <f t="shared" si="3"/>
        <v/>
      </c>
    </row>
    <row r="232" spans="2:2" ht="15" customHeight="1" x14ac:dyDescent="0.25">
      <c r="B232" t="str">
        <f t="shared" si="3"/>
        <v/>
      </c>
    </row>
    <row r="233" spans="2:2" ht="15" customHeight="1" x14ac:dyDescent="0.25">
      <c r="B233" t="str">
        <f t="shared" si="3"/>
        <v/>
      </c>
    </row>
    <row r="234" spans="2:2" ht="15" customHeight="1" x14ac:dyDescent="0.25">
      <c r="B234" t="str">
        <f t="shared" si="3"/>
        <v/>
      </c>
    </row>
    <row r="235" spans="2:2" ht="15" customHeight="1" x14ac:dyDescent="0.25">
      <c r="B235" t="str">
        <f t="shared" si="3"/>
        <v/>
      </c>
    </row>
    <row r="236" spans="2:2" ht="15" customHeight="1" x14ac:dyDescent="0.25">
      <c r="B236" t="str">
        <f t="shared" si="3"/>
        <v/>
      </c>
    </row>
    <row r="237" spans="2:2" ht="15" customHeight="1" x14ac:dyDescent="0.25">
      <c r="B237" t="str">
        <f t="shared" si="3"/>
        <v/>
      </c>
    </row>
    <row r="238" spans="2:2" ht="15" customHeight="1" x14ac:dyDescent="0.25">
      <c r="B238" t="str">
        <f t="shared" si="3"/>
        <v/>
      </c>
    </row>
    <row r="239" spans="2:2" ht="15" customHeight="1" x14ac:dyDescent="0.25">
      <c r="B239" t="str">
        <f t="shared" si="3"/>
        <v/>
      </c>
    </row>
    <row r="240" spans="2:2" ht="15" customHeight="1" x14ac:dyDescent="0.25">
      <c r="B240" t="str">
        <f t="shared" si="3"/>
        <v/>
      </c>
    </row>
    <row r="241" spans="2:2" ht="15" customHeight="1" x14ac:dyDescent="0.25">
      <c r="B241" t="str">
        <f t="shared" si="3"/>
        <v/>
      </c>
    </row>
    <row r="242" spans="2:2" ht="15" customHeight="1" x14ac:dyDescent="0.25">
      <c r="B242" t="str">
        <f t="shared" si="3"/>
        <v/>
      </c>
    </row>
    <row r="243" spans="2:2" ht="15" customHeight="1" x14ac:dyDescent="0.25">
      <c r="B243" t="str">
        <f t="shared" si="3"/>
        <v/>
      </c>
    </row>
    <row r="244" spans="2:2" ht="15" customHeight="1" x14ac:dyDescent="0.25">
      <c r="B244" t="str">
        <f t="shared" si="3"/>
        <v/>
      </c>
    </row>
    <row r="245" spans="2:2" ht="15" customHeight="1" x14ac:dyDescent="0.25">
      <c r="B245" t="str">
        <f t="shared" si="3"/>
        <v/>
      </c>
    </row>
    <row r="246" spans="2:2" ht="15" customHeight="1" x14ac:dyDescent="0.25">
      <c r="B246" t="str">
        <f t="shared" si="3"/>
        <v/>
      </c>
    </row>
    <row r="247" spans="2:2" ht="15" customHeight="1" x14ac:dyDescent="0.25">
      <c r="B247" t="str">
        <f t="shared" si="3"/>
        <v/>
      </c>
    </row>
    <row r="248" spans="2:2" ht="15" customHeight="1" x14ac:dyDescent="0.25">
      <c r="B248" t="str">
        <f t="shared" si="3"/>
        <v/>
      </c>
    </row>
    <row r="249" spans="2:2" ht="15" customHeight="1" x14ac:dyDescent="0.25">
      <c r="B249" t="str">
        <f t="shared" si="3"/>
        <v/>
      </c>
    </row>
    <row r="250" spans="2:2" ht="15" customHeight="1" x14ac:dyDescent="0.25">
      <c r="B250" t="str">
        <f t="shared" si="3"/>
        <v/>
      </c>
    </row>
    <row r="251" spans="2:2" ht="15" customHeight="1" x14ac:dyDescent="0.25">
      <c r="B251" t="str">
        <f t="shared" si="3"/>
        <v/>
      </c>
    </row>
    <row r="252" spans="2:2" ht="15" customHeight="1" x14ac:dyDescent="0.25">
      <c r="B252" t="str">
        <f t="shared" si="3"/>
        <v/>
      </c>
    </row>
    <row r="253" spans="2:2" ht="15" customHeight="1" x14ac:dyDescent="0.25">
      <c r="B253" t="str">
        <f t="shared" si="3"/>
        <v/>
      </c>
    </row>
    <row r="254" spans="2:2" ht="15" customHeight="1" x14ac:dyDescent="0.25">
      <c r="B254" t="str">
        <f t="shared" si="3"/>
        <v/>
      </c>
    </row>
    <row r="255" spans="2:2" ht="15" customHeight="1" x14ac:dyDescent="0.25">
      <c r="B255" t="str">
        <f t="shared" si="3"/>
        <v/>
      </c>
    </row>
    <row r="256" spans="2:2" ht="15" customHeight="1" x14ac:dyDescent="0.25">
      <c r="B256" t="str">
        <f t="shared" si="3"/>
        <v/>
      </c>
    </row>
    <row r="257" spans="2:2" ht="15" customHeight="1" x14ac:dyDescent="0.25">
      <c r="B257" t="str">
        <f t="shared" si="3"/>
        <v/>
      </c>
    </row>
    <row r="258" spans="2:2" ht="15" customHeight="1" x14ac:dyDescent="0.25">
      <c r="B258" t="str">
        <f t="shared" si="3"/>
        <v/>
      </c>
    </row>
    <row r="259" spans="2:2" ht="15" customHeight="1" x14ac:dyDescent="0.25">
      <c r="B259" t="str">
        <f t="shared" si="3"/>
        <v/>
      </c>
    </row>
    <row r="260" spans="2:2" ht="15" customHeight="1" x14ac:dyDescent="0.25">
      <c r="B260" t="str">
        <f t="shared" ref="B260:B323" si="4">IF(A260="","",TEXT(A260,"mmm yyyy"))</f>
        <v/>
      </c>
    </row>
    <row r="261" spans="2:2" ht="15" customHeight="1" x14ac:dyDescent="0.25">
      <c r="B261" t="str">
        <f t="shared" si="4"/>
        <v/>
      </c>
    </row>
    <row r="262" spans="2:2" ht="15" customHeight="1" x14ac:dyDescent="0.25">
      <c r="B262" t="str">
        <f t="shared" si="4"/>
        <v/>
      </c>
    </row>
    <row r="263" spans="2:2" ht="15" customHeight="1" x14ac:dyDescent="0.25">
      <c r="B263" t="str">
        <f t="shared" si="4"/>
        <v/>
      </c>
    </row>
    <row r="264" spans="2:2" ht="15" customHeight="1" x14ac:dyDescent="0.25">
      <c r="B264" t="str">
        <f t="shared" si="4"/>
        <v/>
      </c>
    </row>
    <row r="265" spans="2:2" ht="15" customHeight="1" x14ac:dyDescent="0.25">
      <c r="B265" t="str">
        <f t="shared" si="4"/>
        <v/>
      </c>
    </row>
    <row r="266" spans="2:2" ht="15" customHeight="1" x14ac:dyDescent="0.25">
      <c r="B266" t="str">
        <f t="shared" si="4"/>
        <v/>
      </c>
    </row>
    <row r="267" spans="2:2" ht="15" customHeight="1" x14ac:dyDescent="0.25">
      <c r="B267" t="str">
        <f t="shared" si="4"/>
        <v/>
      </c>
    </row>
    <row r="268" spans="2:2" ht="15" customHeight="1" x14ac:dyDescent="0.25">
      <c r="B268" t="str">
        <f t="shared" si="4"/>
        <v/>
      </c>
    </row>
    <row r="269" spans="2:2" ht="15" customHeight="1" x14ac:dyDescent="0.25">
      <c r="B269" t="str">
        <f t="shared" si="4"/>
        <v/>
      </c>
    </row>
    <row r="270" spans="2:2" ht="15" customHeight="1" x14ac:dyDescent="0.25">
      <c r="B270" t="str">
        <f t="shared" si="4"/>
        <v/>
      </c>
    </row>
    <row r="271" spans="2:2" ht="15" customHeight="1" x14ac:dyDescent="0.25">
      <c r="B271" t="str">
        <f t="shared" si="4"/>
        <v/>
      </c>
    </row>
    <row r="272" spans="2:2" ht="15" customHeight="1" x14ac:dyDescent="0.25">
      <c r="B272" t="str">
        <f t="shared" si="4"/>
        <v/>
      </c>
    </row>
    <row r="273" spans="2:2" ht="15" customHeight="1" x14ac:dyDescent="0.25">
      <c r="B273" t="str">
        <f t="shared" si="4"/>
        <v/>
      </c>
    </row>
    <row r="274" spans="2:2" ht="15" customHeight="1" x14ac:dyDescent="0.25">
      <c r="B274" t="str">
        <f t="shared" si="4"/>
        <v/>
      </c>
    </row>
    <row r="275" spans="2:2" ht="15" customHeight="1" x14ac:dyDescent="0.25">
      <c r="B275" t="str">
        <f t="shared" si="4"/>
        <v/>
      </c>
    </row>
    <row r="276" spans="2:2" ht="15" customHeight="1" x14ac:dyDescent="0.25">
      <c r="B276" t="str">
        <f t="shared" si="4"/>
        <v/>
      </c>
    </row>
    <row r="277" spans="2:2" ht="15" customHeight="1" x14ac:dyDescent="0.25">
      <c r="B277" t="str">
        <f t="shared" si="4"/>
        <v/>
      </c>
    </row>
    <row r="278" spans="2:2" ht="15" customHeight="1" x14ac:dyDescent="0.25">
      <c r="B278" t="str">
        <f t="shared" si="4"/>
        <v/>
      </c>
    </row>
    <row r="279" spans="2:2" ht="15" customHeight="1" x14ac:dyDescent="0.25">
      <c r="B279" t="str">
        <f t="shared" si="4"/>
        <v/>
      </c>
    </row>
    <row r="280" spans="2:2" ht="15" customHeight="1" x14ac:dyDescent="0.25">
      <c r="B280" t="str">
        <f t="shared" si="4"/>
        <v/>
      </c>
    </row>
    <row r="281" spans="2:2" ht="15" customHeight="1" x14ac:dyDescent="0.25">
      <c r="B281" t="str">
        <f t="shared" si="4"/>
        <v/>
      </c>
    </row>
    <row r="282" spans="2:2" ht="15" customHeight="1" x14ac:dyDescent="0.25">
      <c r="B282" t="str">
        <f t="shared" si="4"/>
        <v/>
      </c>
    </row>
    <row r="283" spans="2:2" ht="15" customHeight="1" x14ac:dyDescent="0.25">
      <c r="B283" t="str">
        <f t="shared" si="4"/>
        <v/>
      </c>
    </row>
    <row r="284" spans="2:2" ht="15" customHeight="1" x14ac:dyDescent="0.25">
      <c r="B284" t="str">
        <f t="shared" si="4"/>
        <v/>
      </c>
    </row>
    <row r="285" spans="2:2" ht="15" customHeight="1" x14ac:dyDescent="0.25">
      <c r="B285" t="str">
        <f t="shared" si="4"/>
        <v/>
      </c>
    </row>
    <row r="286" spans="2:2" ht="15" customHeight="1" x14ac:dyDescent="0.25">
      <c r="B286" t="str">
        <f t="shared" si="4"/>
        <v/>
      </c>
    </row>
    <row r="287" spans="2:2" ht="15" customHeight="1" x14ac:dyDescent="0.25">
      <c r="B287" t="str">
        <f t="shared" si="4"/>
        <v/>
      </c>
    </row>
    <row r="288" spans="2:2" ht="15" customHeight="1" x14ac:dyDescent="0.25">
      <c r="B288" t="str">
        <f t="shared" si="4"/>
        <v/>
      </c>
    </row>
    <row r="289" spans="2:2" ht="15" customHeight="1" x14ac:dyDescent="0.25">
      <c r="B289" t="str">
        <f t="shared" si="4"/>
        <v/>
      </c>
    </row>
    <row r="290" spans="2:2" ht="15" customHeight="1" x14ac:dyDescent="0.25">
      <c r="B290" t="str">
        <f t="shared" si="4"/>
        <v/>
      </c>
    </row>
    <row r="291" spans="2:2" ht="15" customHeight="1" x14ac:dyDescent="0.25">
      <c r="B291" t="str">
        <f t="shared" si="4"/>
        <v/>
      </c>
    </row>
    <row r="292" spans="2:2" ht="15" customHeight="1" x14ac:dyDescent="0.25">
      <c r="B292" t="str">
        <f t="shared" si="4"/>
        <v/>
      </c>
    </row>
    <row r="293" spans="2:2" ht="15" customHeight="1" x14ac:dyDescent="0.25">
      <c r="B293" t="str">
        <f t="shared" si="4"/>
        <v/>
      </c>
    </row>
    <row r="294" spans="2:2" ht="15" customHeight="1" x14ac:dyDescent="0.25">
      <c r="B294" t="str">
        <f t="shared" si="4"/>
        <v/>
      </c>
    </row>
    <row r="295" spans="2:2" ht="15" customHeight="1" x14ac:dyDescent="0.25">
      <c r="B295" t="str">
        <f t="shared" si="4"/>
        <v/>
      </c>
    </row>
    <row r="296" spans="2:2" ht="15" customHeight="1" x14ac:dyDescent="0.25">
      <c r="B296" t="str">
        <f t="shared" si="4"/>
        <v/>
      </c>
    </row>
    <row r="297" spans="2:2" ht="15" customHeight="1" x14ac:dyDescent="0.25">
      <c r="B297" t="str">
        <f t="shared" si="4"/>
        <v/>
      </c>
    </row>
    <row r="298" spans="2:2" ht="15" customHeight="1" x14ac:dyDescent="0.25">
      <c r="B298" t="str">
        <f t="shared" si="4"/>
        <v/>
      </c>
    </row>
    <row r="299" spans="2:2" ht="15" customHeight="1" x14ac:dyDescent="0.25">
      <c r="B299" t="str">
        <f t="shared" si="4"/>
        <v/>
      </c>
    </row>
    <row r="300" spans="2:2" ht="15" customHeight="1" x14ac:dyDescent="0.25">
      <c r="B300" t="str">
        <f t="shared" si="4"/>
        <v/>
      </c>
    </row>
    <row r="301" spans="2:2" ht="15" customHeight="1" x14ac:dyDescent="0.25">
      <c r="B301" t="str">
        <f t="shared" si="4"/>
        <v/>
      </c>
    </row>
    <row r="302" spans="2:2" ht="15" customHeight="1" x14ac:dyDescent="0.25">
      <c r="B302" t="str">
        <f t="shared" si="4"/>
        <v/>
      </c>
    </row>
    <row r="303" spans="2:2" ht="15" customHeight="1" x14ac:dyDescent="0.25">
      <c r="B303" t="str">
        <f t="shared" si="4"/>
        <v/>
      </c>
    </row>
    <row r="304" spans="2:2" ht="15" customHeight="1" x14ac:dyDescent="0.25">
      <c r="B304" t="str">
        <f t="shared" si="4"/>
        <v/>
      </c>
    </row>
    <row r="305" spans="2:2" ht="15" customHeight="1" x14ac:dyDescent="0.25">
      <c r="B305" t="str">
        <f t="shared" si="4"/>
        <v/>
      </c>
    </row>
    <row r="306" spans="2:2" ht="15" customHeight="1" x14ac:dyDescent="0.25">
      <c r="B306" t="str">
        <f t="shared" si="4"/>
        <v/>
      </c>
    </row>
    <row r="307" spans="2:2" ht="15" customHeight="1" x14ac:dyDescent="0.25">
      <c r="B307" t="str">
        <f t="shared" si="4"/>
        <v/>
      </c>
    </row>
    <row r="308" spans="2:2" ht="15" customHeight="1" x14ac:dyDescent="0.25">
      <c r="B308" t="str">
        <f t="shared" si="4"/>
        <v/>
      </c>
    </row>
    <row r="309" spans="2:2" ht="15" customHeight="1" x14ac:dyDescent="0.25">
      <c r="B309" t="str">
        <f t="shared" si="4"/>
        <v/>
      </c>
    </row>
    <row r="310" spans="2:2" ht="15" customHeight="1" x14ac:dyDescent="0.25">
      <c r="B310" t="str">
        <f t="shared" si="4"/>
        <v/>
      </c>
    </row>
    <row r="311" spans="2:2" ht="15" customHeight="1" x14ac:dyDescent="0.25">
      <c r="B311" t="str">
        <f t="shared" si="4"/>
        <v/>
      </c>
    </row>
    <row r="312" spans="2:2" ht="15" customHeight="1" x14ac:dyDescent="0.25">
      <c r="B312" t="str">
        <f t="shared" si="4"/>
        <v/>
      </c>
    </row>
    <row r="313" spans="2:2" ht="15" customHeight="1" x14ac:dyDescent="0.25">
      <c r="B313" t="str">
        <f t="shared" si="4"/>
        <v/>
      </c>
    </row>
    <row r="314" spans="2:2" ht="15" customHeight="1" x14ac:dyDescent="0.25">
      <c r="B314" t="str">
        <f t="shared" si="4"/>
        <v/>
      </c>
    </row>
    <row r="315" spans="2:2" ht="15" customHeight="1" x14ac:dyDescent="0.25">
      <c r="B315" t="str">
        <f t="shared" si="4"/>
        <v/>
      </c>
    </row>
    <row r="316" spans="2:2" ht="15" customHeight="1" x14ac:dyDescent="0.25">
      <c r="B316" t="str">
        <f t="shared" si="4"/>
        <v/>
      </c>
    </row>
    <row r="317" spans="2:2" ht="15" customHeight="1" x14ac:dyDescent="0.25">
      <c r="B317" t="str">
        <f t="shared" si="4"/>
        <v/>
      </c>
    </row>
    <row r="318" spans="2:2" ht="15" customHeight="1" x14ac:dyDescent="0.25">
      <c r="B318" t="str">
        <f t="shared" si="4"/>
        <v/>
      </c>
    </row>
    <row r="319" spans="2:2" ht="15" customHeight="1" x14ac:dyDescent="0.25">
      <c r="B319" t="str">
        <f t="shared" si="4"/>
        <v/>
      </c>
    </row>
    <row r="320" spans="2:2" ht="15" customHeight="1" x14ac:dyDescent="0.25">
      <c r="B320" t="str">
        <f t="shared" si="4"/>
        <v/>
      </c>
    </row>
    <row r="321" spans="2:2" ht="15" customHeight="1" x14ac:dyDescent="0.25">
      <c r="B321" t="str">
        <f t="shared" si="4"/>
        <v/>
      </c>
    </row>
    <row r="322" spans="2:2" ht="15" customHeight="1" x14ac:dyDescent="0.25">
      <c r="B322" t="str">
        <f t="shared" si="4"/>
        <v/>
      </c>
    </row>
    <row r="323" spans="2:2" ht="15" customHeight="1" x14ac:dyDescent="0.25">
      <c r="B323" t="str">
        <f t="shared" si="4"/>
        <v/>
      </c>
    </row>
    <row r="324" spans="2:2" ht="15" customHeight="1" x14ac:dyDescent="0.25">
      <c r="B324" t="str">
        <f t="shared" ref="B324:B387" si="5">IF(A324="","",TEXT(A324,"mmm yyyy"))</f>
        <v/>
      </c>
    </row>
    <row r="325" spans="2:2" ht="15" customHeight="1" x14ac:dyDescent="0.25">
      <c r="B325" t="str">
        <f t="shared" si="5"/>
        <v/>
      </c>
    </row>
    <row r="326" spans="2:2" ht="15" customHeight="1" x14ac:dyDescent="0.25">
      <c r="B326" t="str">
        <f t="shared" si="5"/>
        <v/>
      </c>
    </row>
    <row r="327" spans="2:2" ht="15" customHeight="1" x14ac:dyDescent="0.25">
      <c r="B327" t="str">
        <f t="shared" si="5"/>
        <v/>
      </c>
    </row>
    <row r="328" spans="2:2" ht="15" customHeight="1" x14ac:dyDescent="0.25">
      <c r="B328" t="str">
        <f t="shared" si="5"/>
        <v/>
      </c>
    </row>
    <row r="329" spans="2:2" ht="15" customHeight="1" x14ac:dyDescent="0.25">
      <c r="B329" t="str">
        <f t="shared" si="5"/>
        <v/>
      </c>
    </row>
    <row r="330" spans="2:2" ht="15" customHeight="1" x14ac:dyDescent="0.25">
      <c r="B330" t="str">
        <f t="shared" si="5"/>
        <v/>
      </c>
    </row>
    <row r="331" spans="2:2" ht="15" customHeight="1" x14ac:dyDescent="0.25">
      <c r="B331" t="str">
        <f t="shared" si="5"/>
        <v/>
      </c>
    </row>
    <row r="332" spans="2:2" ht="15" customHeight="1" x14ac:dyDescent="0.25">
      <c r="B332" t="str">
        <f t="shared" si="5"/>
        <v/>
      </c>
    </row>
    <row r="333" spans="2:2" ht="15" customHeight="1" x14ac:dyDescent="0.25">
      <c r="B333" t="str">
        <f t="shared" si="5"/>
        <v/>
      </c>
    </row>
    <row r="334" spans="2:2" ht="15" customHeight="1" x14ac:dyDescent="0.25">
      <c r="B334" t="str">
        <f t="shared" si="5"/>
        <v/>
      </c>
    </row>
    <row r="335" spans="2:2" ht="15" customHeight="1" x14ac:dyDescent="0.25">
      <c r="B335" t="str">
        <f t="shared" si="5"/>
        <v/>
      </c>
    </row>
    <row r="336" spans="2:2" ht="15" customHeight="1" x14ac:dyDescent="0.25">
      <c r="B336" t="str">
        <f t="shared" si="5"/>
        <v/>
      </c>
    </row>
    <row r="337" spans="2:2" ht="15" customHeight="1" x14ac:dyDescent="0.25">
      <c r="B337" t="str">
        <f t="shared" si="5"/>
        <v/>
      </c>
    </row>
    <row r="338" spans="2:2" ht="15" customHeight="1" x14ac:dyDescent="0.25">
      <c r="B338" t="str">
        <f t="shared" si="5"/>
        <v/>
      </c>
    </row>
    <row r="339" spans="2:2" ht="15" customHeight="1" x14ac:dyDescent="0.25">
      <c r="B339" t="str">
        <f t="shared" si="5"/>
        <v/>
      </c>
    </row>
    <row r="340" spans="2:2" ht="15" customHeight="1" x14ac:dyDescent="0.25">
      <c r="B340" t="str">
        <f t="shared" si="5"/>
        <v/>
      </c>
    </row>
    <row r="341" spans="2:2" ht="15" customHeight="1" x14ac:dyDescent="0.25">
      <c r="B341" t="str">
        <f t="shared" si="5"/>
        <v/>
      </c>
    </row>
    <row r="342" spans="2:2" ht="15" customHeight="1" x14ac:dyDescent="0.25">
      <c r="B342" t="str">
        <f t="shared" si="5"/>
        <v/>
      </c>
    </row>
    <row r="343" spans="2:2" ht="15" customHeight="1" x14ac:dyDescent="0.25">
      <c r="B343" t="str">
        <f t="shared" si="5"/>
        <v/>
      </c>
    </row>
    <row r="344" spans="2:2" ht="15" customHeight="1" x14ac:dyDescent="0.25">
      <c r="B344" t="str">
        <f t="shared" si="5"/>
        <v/>
      </c>
    </row>
    <row r="345" spans="2:2" ht="15" customHeight="1" x14ac:dyDescent="0.25">
      <c r="B345" t="str">
        <f t="shared" si="5"/>
        <v/>
      </c>
    </row>
    <row r="346" spans="2:2" ht="15" customHeight="1" x14ac:dyDescent="0.25">
      <c r="B346" t="str">
        <f t="shared" si="5"/>
        <v/>
      </c>
    </row>
    <row r="347" spans="2:2" ht="15" customHeight="1" x14ac:dyDescent="0.25">
      <c r="B347" t="str">
        <f t="shared" si="5"/>
        <v/>
      </c>
    </row>
    <row r="348" spans="2:2" ht="15" customHeight="1" x14ac:dyDescent="0.25">
      <c r="B348" t="str">
        <f t="shared" si="5"/>
        <v/>
      </c>
    </row>
    <row r="349" spans="2:2" ht="15" customHeight="1" x14ac:dyDescent="0.25">
      <c r="B349" t="str">
        <f t="shared" si="5"/>
        <v/>
      </c>
    </row>
    <row r="350" spans="2:2" ht="15" customHeight="1" x14ac:dyDescent="0.25">
      <c r="B350" t="str">
        <f t="shared" si="5"/>
        <v/>
      </c>
    </row>
    <row r="351" spans="2:2" ht="15" customHeight="1" x14ac:dyDescent="0.25">
      <c r="B351" t="str">
        <f t="shared" si="5"/>
        <v/>
      </c>
    </row>
    <row r="352" spans="2:2" ht="15" customHeight="1" x14ac:dyDescent="0.25">
      <c r="B352" t="str">
        <f t="shared" si="5"/>
        <v/>
      </c>
    </row>
    <row r="353" spans="2:2" ht="15" customHeight="1" x14ac:dyDescent="0.25">
      <c r="B353" t="str">
        <f t="shared" si="5"/>
        <v/>
      </c>
    </row>
    <row r="354" spans="2:2" ht="15" customHeight="1" x14ac:dyDescent="0.25">
      <c r="B354" t="str">
        <f t="shared" si="5"/>
        <v/>
      </c>
    </row>
    <row r="355" spans="2:2" ht="15" customHeight="1" x14ac:dyDescent="0.25">
      <c r="B355" t="str">
        <f t="shared" si="5"/>
        <v/>
      </c>
    </row>
    <row r="356" spans="2:2" ht="15" customHeight="1" x14ac:dyDescent="0.25">
      <c r="B356" t="str">
        <f t="shared" si="5"/>
        <v/>
      </c>
    </row>
    <row r="357" spans="2:2" ht="15" customHeight="1" x14ac:dyDescent="0.25">
      <c r="B357" t="str">
        <f t="shared" si="5"/>
        <v/>
      </c>
    </row>
    <row r="358" spans="2:2" ht="15" customHeight="1" x14ac:dyDescent="0.25">
      <c r="B358" t="str">
        <f t="shared" si="5"/>
        <v/>
      </c>
    </row>
    <row r="359" spans="2:2" ht="15" customHeight="1" x14ac:dyDescent="0.25">
      <c r="B359" t="str">
        <f t="shared" si="5"/>
        <v/>
      </c>
    </row>
    <row r="360" spans="2:2" ht="15" customHeight="1" x14ac:dyDescent="0.25">
      <c r="B360" t="str">
        <f t="shared" si="5"/>
        <v/>
      </c>
    </row>
    <row r="361" spans="2:2" ht="15" customHeight="1" x14ac:dyDescent="0.25">
      <c r="B361" t="str">
        <f t="shared" si="5"/>
        <v/>
      </c>
    </row>
    <row r="362" spans="2:2" ht="15" customHeight="1" x14ac:dyDescent="0.25">
      <c r="B362" t="str">
        <f t="shared" si="5"/>
        <v/>
      </c>
    </row>
    <row r="363" spans="2:2" ht="15" customHeight="1" x14ac:dyDescent="0.25">
      <c r="B363" t="str">
        <f t="shared" si="5"/>
        <v/>
      </c>
    </row>
    <row r="364" spans="2:2" ht="15" customHeight="1" x14ac:dyDescent="0.25">
      <c r="B364" t="str">
        <f t="shared" si="5"/>
        <v/>
      </c>
    </row>
    <row r="365" spans="2:2" ht="15" customHeight="1" x14ac:dyDescent="0.25">
      <c r="B365" t="str">
        <f t="shared" si="5"/>
        <v/>
      </c>
    </row>
    <row r="366" spans="2:2" ht="15" customHeight="1" x14ac:dyDescent="0.25">
      <c r="B366" t="str">
        <f t="shared" si="5"/>
        <v/>
      </c>
    </row>
    <row r="367" spans="2:2" ht="15" customHeight="1" x14ac:dyDescent="0.25">
      <c r="B367" t="str">
        <f t="shared" si="5"/>
        <v/>
      </c>
    </row>
    <row r="368" spans="2:2" ht="15" customHeight="1" x14ac:dyDescent="0.25">
      <c r="B368" t="str">
        <f t="shared" si="5"/>
        <v/>
      </c>
    </row>
    <row r="369" spans="2:2" ht="15" customHeight="1" x14ac:dyDescent="0.25">
      <c r="B369" t="str">
        <f t="shared" si="5"/>
        <v/>
      </c>
    </row>
    <row r="370" spans="2:2" ht="15" customHeight="1" x14ac:dyDescent="0.25">
      <c r="B370" t="str">
        <f t="shared" si="5"/>
        <v/>
      </c>
    </row>
    <row r="371" spans="2:2" ht="15" customHeight="1" x14ac:dyDescent="0.25">
      <c r="B371" t="str">
        <f t="shared" si="5"/>
        <v/>
      </c>
    </row>
    <row r="372" spans="2:2" ht="15" customHeight="1" x14ac:dyDescent="0.25">
      <c r="B372" t="str">
        <f t="shared" si="5"/>
        <v/>
      </c>
    </row>
    <row r="373" spans="2:2" ht="15" customHeight="1" x14ac:dyDescent="0.25">
      <c r="B373" t="str">
        <f t="shared" si="5"/>
        <v/>
      </c>
    </row>
    <row r="374" spans="2:2" ht="15" customHeight="1" x14ac:dyDescent="0.25">
      <c r="B374" t="str">
        <f t="shared" si="5"/>
        <v/>
      </c>
    </row>
    <row r="375" spans="2:2" ht="15" customHeight="1" x14ac:dyDescent="0.25">
      <c r="B375" t="str">
        <f t="shared" si="5"/>
        <v/>
      </c>
    </row>
    <row r="376" spans="2:2" ht="15" customHeight="1" x14ac:dyDescent="0.25">
      <c r="B376" t="str">
        <f t="shared" si="5"/>
        <v/>
      </c>
    </row>
    <row r="377" spans="2:2" ht="15" customHeight="1" x14ac:dyDescent="0.25">
      <c r="B377" t="str">
        <f t="shared" si="5"/>
        <v/>
      </c>
    </row>
    <row r="378" spans="2:2" ht="15" customHeight="1" x14ac:dyDescent="0.25">
      <c r="B378" t="str">
        <f t="shared" si="5"/>
        <v/>
      </c>
    </row>
    <row r="379" spans="2:2" ht="15" customHeight="1" x14ac:dyDescent="0.25">
      <c r="B379" t="str">
        <f t="shared" si="5"/>
        <v/>
      </c>
    </row>
    <row r="380" spans="2:2" ht="15" customHeight="1" x14ac:dyDescent="0.25">
      <c r="B380" t="str">
        <f t="shared" si="5"/>
        <v/>
      </c>
    </row>
    <row r="381" spans="2:2" ht="15" customHeight="1" x14ac:dyDescent="0.25">
      <c r="B381" t="str">
        <f t="shared" si="5"/>
        <v/>
      </c>
    </row>
    <row r="382" spans="2:2" ht="15" customHeight="1" x14ac:dyDescent="0.25">
      <c r="B382" t="str">
        <f t="shared" si="5"/>
        <v/>
      </c>
    </row>
    <row r="383" spans="2:2" ht="15" customHeight="1" x14ac:dyDescent="0.25">
      <c r="B383" t="str">
        <f t="shared" si="5"/>
        <v/>
      </c>
    </row>
    <row r="384" spans="2:2" ht="15" customHeight="1" x14ac:dyDescent="0.25">
      <c r="B384" t="str">
        <f t="shared" si="5"/>
        <v/>
      </c>
    </row>
    <row r="385" spans="2:2" ht="15" customHeight="1" x14ac:dyDescent="0.25">
      <c r="B385" t="str">
        <f t="shared" si="5"/>
        <v/>
      </c>
    </row>
    <row r="386" spans="2:2" ht="15" customHeight="1" x14ac:dyDescent="0.25">
      <c r="B386" t="str">
        <f t="shared" si="5"/>
        <v/>
      </c>
    </row>
    <row r="387" spans="2:2" ht="15" customHeight="1" x14ac:dyDescent="0.25">
      <c r="B387" t="str">
        <f t="shared" si="5"/>
        <v/>
      </c>
    </row>
    <row r="388" spans="2:2" ht="15" customHeight="1" x14ac:dyDescent="0.25">
      <c r="B388" t="str">
        <f t="shared" ref="B388:B451" si="6">IF(A388="","",TEXT(A388,"mmm yyyy"))</f>
        <v/>
      </c>
    </row>
    <row r="389" spans="2:2" ht="15" customHeight="1" x14ac:dyDescent="0.25">
      <c r="B389" t="str">
        <f t="shared" si="6"/>
        <v/>
      </c>
    </row>
    <row r="390" spans="2:2" ht="15" customHeight="1" x14ac:dyDescent="0.25">
      <c r="B390" t="str">
        <f t="shared" si="6"/>
        <v/>
      </c>
    </row>
    <row r="391" spans="2:2" ht="15" customHeight="1" x14ac:dyDescent="0.25">
      <c r="B391" t="str">
        <f t="shared" si="6"/>
        <v/>
      </c>
    </row>
    <row r="392" spans="2:2" ht="15" customHeight="1" x14ac:dyDescent="0.25">
      <c r="B392" t="str">
        <f t="shared" si="6"/>
        <v/>
      </c>
    </row>
    <row r="393" spans="2:2" ht="15" customHeight="1" x14ac:dyDescent="0.25">
      <c r="B393" t="str">
        <f t="shared" si="6"/>
        <v/>
      </c>
    </row>
    <row r="394" spans="2:2" ht="15" customHeight="1" x14ac:dyDescent="0.25">
      <c r="B394" t="str">
        <f t="shared" si="6"/>
        <v/>
      </c>
    </row>
    <row r="395" spans="2:2" ht="15" customHeight="1" x14ac:dyDescent="0.25">
      <c r="B395" t="str">
        <f t="shared" si="6"/>
        <v/>
      </c>
    </row>
    <row r="396" spans="2:2" ht="15" customHeight="1" x14ac:dyDescent="0.25">
      <c r="B396" t="str">
        <f t="shared" si="6"/>
        <v/>
      </c>
    </row>
    <row r="397" spans="2:2" ht="15" customHeight="1" x14ac:dyDescent="0.25">
      <c r="B397" t="str">
        <f t="shared" si="6"/>
        <v/>
      </c>
    </row>
    <row r="398" spans="2:2" ht="15" customHeight="1" x14ac:dyDescent="0.25">
      <c r="B398" t="str">
        <f t="shared" si="6"/>
        <v/>
      </c>
    </row>
    <row r="399" spans="2:2" ht="15" customHeight="1" x14ac:dyDescent="0.25">
      <c r="B399" t="str">
        <f t="shared" si="6"/>
        <v/>
      </c>
    </row>
    <row r="400" spans="2:2" ht="15" customHeight="1" x14ac:dyDescent="0.25">
      <c r="B400" t="str">
        <f t="shared" si="6"/>
        <v/>
      </c>
    </row>
    <row r="401" spans="2:2" ht="15" customHeight="1" x14ac:dyDescent="0.25">
      <c r="B401" t="str">
        <f t="shared" si="6"/>
        <v/>
      </c>
    </row>
    <row r="402" spans="2:2" ht="15" customHeight="1" x14ac:dyDescent="0.25">
      <c r="B402" t="str">
        <f t="shared" si="6"/>
        <v/>
      </c>
    </row>
    <row r="403" spans="2:2" ht="15" customHeight="1" x14ac:dyDescent="0.25">
      <c r="B403" t="str">
        <f t="shared" si="6"/>
        <v/>
      </c>
    </row>
    <row r="404" spans="2:2" ht="15" customHeight="1" x14ac:dyDescent="0.25">
      <c r="B404" t="str">
        <f t="shared" si="6"/>
        <v/>
      </c>
    </row>
    <row r="405" spans="2:2" ht="15" customHeight="1" x14ac:dyDescent="0.25">
      <c r="B405" t="str">
        <f t="shared" si="6"/>
        <v/>
      </c>
    </row>
    <row r="406" spans="2:2" ht="15" customHeight="1" x14ac:dyDescent="0.25">
      <c r="B406" t="str">
        <f t="shared" si="6"/>
        <v/>
      </c>
    </row>
    <row r="407" spans="2:2" ht="15" customHeight="1" x14ac:dyDescent="0.25">
      <c r="B407" t="str">
        <f t="shared" si="6"/>
        <v/>
      </c>
    </row>
    <row r="408" spans="2:2" ht="15" customHeight="1" x14ac:dyDescent="0.25">
      <c r="B408" t="str">
        <f t="shared" si="6"/>
        <v/>
      </c>
    </row>
    <row r="409" spans="2:2" ht="15" customHeight="1" x14ac:dyDescent="0.25">
      <c r="B409" t="str">
        <f t="shared" si="6"/>
        <v/>
      </c>
    </row>
    <row r="410" spans="2:2" ht="15" customHeight="1" x14ac:dyDescent="0.25">
      <c r="B410" t="str">
        <f t="shared" si="6"/>
        <v/>
      </c>
    </row>
    <row r="411" spans="2:2" ht="15" customHeight="1" x14ac:dyDescent="0.25">
      <c r="B411" t="str">
        <f t="shared" si="6"/>
        <v/>
      </c>
    </row>
    <row r="412" spans="2:2" ht="15" customHeight="1" x14ac:dyDescent="0.25">
      <c r="B412" t="str">
        <f t="shared" si="6"/>
        <v/>
      </c>
    </row>
    <row r="413" spans="2:2" ht="15" customHeight="1" x14ac:dyDescent="0.25">
      <c r="B413" t="str">
        <f t="shared" si="6"/>
        <v/>
      </c>
    </row>
    <row r="414" spans="2:2" ht="15" customHeight="1" x14ac:dyDescent="0.25">
      <c r="B414" t="str">
        <f t="shared" si="6"/>
        <v/>
      </c>
    </row>
    <row r="415" spans="2:2" ht="15" customHeight="1" x14ac:dyDescent="0.25">
      <c r="B415" t="str">
        <f t="shared" si="6"/>
        <v/>
      </c>
    </row>
    <row r="416" spans="2:2" ht="15" customHeight="1" x14ac:dyDescent="0.25">
      <c r="B416" t="str">
        <f t="shared" si="6"/>
        <v/>
      </c>
    </row>
    <row r="417" spans="2:2" ht="15" customHeight="1" x14ac:dyDescent="0.25">
      <c r="B417" t="str">
        <f t="shared" si="6"/>
        <v/>
      </c>
    </row>
    <row r="418" spans="2:2" ht="15" customHeight="1" x14ac:dyDescent="0.25">
      <c r="B418" t="str">
        <f t="shared" si="6"/>
        <v/>
      </c>
    </row>
    <row r="419" spans="2:2" ht="15" customHeight="1" x14ac:dyDescent="0.25">
      <c r="B419" t="str">
        <f t="shared" si="6"/>
        <v/>
      </c>
    </row>
    <row r="420" spans="2:2" ht="15" customHeight="1" x14ac:dyDescent="0.25">
      <c r="B420" t="str">
        <f t="shared" si="6"/>
        <v/>
      </c>
    </row>
    <row r="421" spans="2:2" ht="15" customHeight="1" x14ac:dyDescent="0.25">
      <c r="B421" t="str">
        <f t="shared" si="6"/>
        <v/>
      </c>
    </row>
    <row r="422" spans="2:2" ht="15" customHeight="1" x14ac:dyDescent="0.25">
      <c r="B422" t="str">
        <f t="shared" si="6"/>
        <v/>
      </c>
    </row>
    <row r="423" spans="2:2" ht="15" customHeight="1" x14ac:dyDescent="0.25">
      <c r="B423" t="str">
        <f t="shared" si="6"/>
        <v/>
      </c>
    </row>
    <row r="424" spans="2:2" ht="15" customHeight="1" x14ac:dyDescent="0.25">
      <c r="B424" t="str">
        <f t="shared" si="6"/>
        <v/>
      </c>
    </row>
    <row r="425" spans="2:2" ht="15" customHeight="1" x14ac:dyDescent="0.25">
      <c r="B425" t="str">
        <f t="shared" si="6"/>
        <v/>
      </c>
    </row>
    <row r="426" spans="2:2" ht="15" customHeight="1" x14ac:dyDescent="0.25">
      <c r="B426" t="str">
        <f t="shared" si="6"/>
        <v/>
      </c>
    </row>
    <row r="427" spans="2:2" ht="15" customHeight="1" x14ac:dyDescent="0.25">
      <c r="B427" t="str">
        <f t="shared" si="6"/>
        <v/>
      </c>
    </row>
    <row r="428" spans="2:2" ht="15" customHeight="1" x14ac:dyDescent="0.25">
      <c r="B428" t="str">
        <f t="shared" si="6"/>
        <v/>
      </c>
    </row>
    <row r="429" spans="2:2" ht="15" customHeight="1" x14ac:dyDescent="0.25">
      <c r="B429" t="str">
        <f t="shared" si="6"/>
        <v/>
      </c>
    </row>
    <row r="430" spans="2:2" ht="15" customHeight="1" x14ac:dyDescent="0.25">
      <c r="B430" t="str">
        <f t="shared" si="6"/>
        <v/>
      </c>
    </row>
    <row r="431" spans="2:2" ht="15" customHeight="1" x14ac:dyDescent="0.25">
      <c r="B431" t="str">
        <f t="shared" si="6"/>
        <v/>
      </c>
    </row>
    <row r="432" spans="2:2" ht="15" customHeight="1" x14ac:dyDescent="0.25">
      <c r="B432" t="str">
        <f t="shared" si="6"/>
        <v/>
      </c>
    </row>
    <row r="433" spans="2:2" ht="15" customHeight="1" x14ac:dyDescent="0.25">
      <c r="B433" t="str">
        <f t="shared" si="6"/>
        <v/>
      </c>
    </row>
    <row r="434" spans="2:2" ht="15" customHeight="1" x14ac:dyDescent="0.25">
      <c r="B434" t="str">
        <f t="shared" si="6"/>
        <v/>
      </c>
    </row>
    <row r="435" spans="2:2" ht="15" customHeight="1" x14ac:dyDescent="0.25">
      <c r="B435" t="str">
        <f t="shared" si="6"/>
        <v/>
      </c>
    </row>
    <row r="436" spans="2:2" ht="15" customHeight="1" x14ac:dyDescent="0.25">
      <c r="B436" t="str">
        <f t="shared" si="6"/>
        <v/>
      </c>
    </row>
    <row r="437" spans="2:2" ht="15" customHeight="1" x14ac:dyDescent="0.25">
      <c r="B437" t="str">
        <f t="shared" si="6"/>
        <v/>
      </c>
    </row>
    <row r="438" spans="2:2" ht="15" customHeight="1" x14ac:dyDescent="0.25">
      <c r="B438" t="str">
        <f t="shared" si="6"/>
        <v/>
      </c>
    </row>
    <row r="439" spans="2:2" ht="15" customHeight="1" x14ac:dyDescent="0.25">
      <c r="B439" t="str">
        <f t="shared" si="6"/>
        <v/>
      </c>
    </row>
    <row r="440" spans="2:2" ht="15" customHeight="1" x14ac:dyDescent="0.25">
      <c r="B440" t="str">
        <f t="shared" si="6"/>
        <v/>
      </c>
    </row>
    <row r="441" spans="2:2" ht="15" customHeight="1" x14ac:dyDescent="0.25">
      <c r="B441" t="str">
        <f t="shared" si="6"/>
        <v/>
      </c>
    </row>
    <row r="442" spans="2:2" ht="15" customHeight="1" x14ac:dyDescent="0.25">
      <c r="B442" t="str">
        <f t="shared" si="6"/>
        <v/>
      </c>
    </row>
    <row r="443" spans="2:2" ht="15" customHeight="1" x14ac:dyDescent="0.25">
      <c r="B443" t="str">
        <f t="shared" si="6"/>
        <v/>
      </c>
    </row>
    <row r="444" spans="2:2" ht="15" customHeight="1" x14ac:dyDescent="0.25">
      <c r="B444" t="str">
        <f t="shared" si="6"/>
        <v/>
      </c>
    </row>
    <row r="445" spans="2:2" ht="15" customHeight="1" x14ac:dyDescent="0.25">
      <c r="B445" t="str">
        <f t="shared" si="6"/>
        <v/>
      </c>
    </row>
    <row r="446" spans="2:2" ht="15" customHeight="1" x14ac:dyDescent="0.25">
      <c r="B446" t="str">
        <f t="shared" si="6"/>
        <v/>
      </c>
    </row>
    <row r="447" spans="2:2" ht="15" customHeight="1" x14ac:dyDescent="0.25">
      <c r="B447" t="str">
        <f t="shared" si="6"/>
        <v/>
      </c>
    </row>
    <row r="448" spans="2:2" ht="15" customHeight="1" x14ac:dyDescent="0.25">
      <c r="B448" t="str">
        <f t="shared" si="6"/>
        <v/>
      </c>
    </row>
    <row r="449" spans="2:2" ht="15" customHeight="1" x14ac:dyDescent="0.25">
      <c r="B449" t="str">
        <f t="shared" si="6"/>
        <v/>
      </c>
    </row>
    <row r="450" spans="2:2" ht="15" customHeight="1" x14ac:dyDescent="0.25">
      <c r="B450" t="str">
        <f t="shared" si="6"/>
        <v/>
      </c>
    </row>
    <row r="451" spans="2:2" ht="15" customHeight="1" x14ac:dyDescent="0.25">
      <c r="B451" t="str">
        <f t="shared" si="6"/>
        <v/>
      </c>
    </row>
    <row r="452" spans="2:2" ht="15" customHeight="1" x14ac:dyDescent="0.25">
      <c r="B452" t="str">
        <f t="shared" ref="B452:B500" si="7">IF(A452="","",TEXT(A452,"mmm yyyy"))</f>
        <v/>
      </c>
    </row>
    <row r="453" spans="2:2" ht="15" customHeight="1" x14ac:dyDescent="0.25">
      <c r="B453" t="str">
        <f t="shared" si="7"/>
        <v/>
      </c>
    </row>
    <row r="454" spans="2:2" ht="15" customHeight="1" x14ac:dyDescent="0.25">
      <c r="B454" t="str">
        <f t="shared" si="7"/>
        <v/>
      </c>
    </row>
    <row r="455" spans="2:2" ht="15" customHeight="1" x14ac:dyDescent="0.25">
      <c r="B455" t="str">
        <f t="shared" si="7"/>
        <v/>
      </c>
    </row>
    <row r="456" spans="2:2" ht="15" customHeight="1" x14ac:dyDescent="0.25">
      <c r="B456" t="str">
        <f t="shared" si="7"/>
        <v/>
      </c>
    </row>
    <row r="457" spans="2:2" ht="15" customHeight="1" x14ac:dyDescent="0.25">
      <c r="B457" t="str">
        <f t="shared" si="7"/>
        <v/>
      </c>
    </row>
    <row r="458" spans="2:2" ht="15" customHeight="1" x14ac:dyDescent="0.25">
      <c r="B458" t="str">
        <f t="shared" si="7"/>
        <v/>
      </c>
    </row>
    <row r="459" spans="2:2" ht="15" customHeight="1" x14ac:dyDescent="0.25">
      <c r="B459" t="str">
        <f t="shared" si="7"/>
        <v/>
      </c>
    </row>
    <row r="460" spans="2:2" ht="15" customHeight="1" x14ac:dyDescent="0.25">
      <c r="B460" t="str">
        <f t="shared" si="7"/>
        <v/>
      </c>
    </row>
    <row r="461" spans="2:2" ht="15" customHeight="1" x14ac:dyDescent="0.25">
      <c r="B461" t="str">
        <f t="shared" si="7"/>
        <v/>
      </c>
    </row>
    <row r="462" spans="2:2" ht="15" customHeight="1" x14ac:dyDescent="0.25">
      <c r="B462" t="str">
        <f t="shared" si="7"/>
        <v/>
      </c>
    </row>
    <row r="463" spans="2:2" ht="15" customHeight="1" x14ac:dyDescent="0.25">
      <c r="B463" t="str">
        <f t="shared" si="7"/>
        <v/>
      </c>
    </row>
    <row r="464" spans="2:2" ht="15" customHeight="1" x14ac:dyDescent="0.25">
      <c r="B464" t="str">
        <f t="shared" si="7"/>
        <v/>
      </c>
    </row>
    <row r="465" spans="2:2" ht="15" customHeight="1" x14ac:dyDescent="0.25">
      <c r="B465" t="str">
        <f t="shared" si="7"/>
        <v/>
      </c>
    </row>
    <row r="466" spans="2:2" ht="15" customHeight="1" x14ac:dyDescent="0.25">
      <c r="B466" t="str">
        <f t="shared" si="7"/>
        <v/>
      </c>
    </row>
    <row r="467" spans="2:2" ht="15" customHeight="1" x14ac:dyDescent="0.25">
      <c r="B467" t="str">
        <f t="shared" si="7"/>
        <v/>
      </c>
    </row>
    <row r="468" spans="2:2" ht="15" customHeight="1" x14ac:dyDescent="0.25">
      <c r="B468" t="str">
        <f t="shared" si="7"/>
        <v/>
      </c>
    </row>
    <row r="469" spans="2:2" ht="15" customHeight="1" x14ac:dyDescent="0.25">
      <c r="B469" t="str">
        <f t="shared" si="7"/>
        <v/>
      </c>
    </row>
    <row r="470" spans="2:2" ht="15" customHeight="1" x14ac:dyDescent="0.25">
      <c r="B470" t="str">
        <f t="shared" si="7"/>
        <v/>
      </c>
    </row>
    <row r="471" spans="2:2" ht="15" customHeight="1" x14ac:dyDescent="0.25">
      <c r="B471" t="str">
        <f t="shared" si="7"/>
        <v/>
      </c>
    </row>
    <row r="472" spans="2:2" ht="15" customHeight="1" x14ac:dyDescent="0.25">
      <c r="B472" t="str">
        <f t="shared" si="7"/>
        <v/>
      </c>
    </row>
    <row r="473" spans="2:2" ht="15" customHeight="1" x14ac:dyDescent="0.25">
      <c r="B473" t="str">
        <f t="shared" si="7"/>
        <v/>
      </c>
    </row>
    <row r="474" spans="2:2" ht="15" customHeight="1" x14ac:dyDescent="0.25">
      <c r="B474" t="str">
        <f t="shared" si="7"/>
        <v/>
      </c>
    </row>
    <row r="475" spans="2:2" ht="15" customHeight="1" x14ac:dyDescent="0.25">
      <c r="B475" t="str">
        <f t="shared" si="7"/>
        <v/>
      </c>
    </row>
    <row r="476" spans="2:2" ht="15" customHeight="1" x14ac:dyDescent="0.25">
      <c r="B476" t="str">
        <f t="shared" si="7"/>
        <v/>
      </c>
    </row>
    <row r="477" spans="2:2" ht="15" customHeight="1" x14ac:dyDescent="0.25">
      <c r="B477" t="str">
        <f t="shared" si="7"/>
        <v/>
      </c>
    </row>
    <row r="478" spans="2:2" ht="15" customHeight="1" x14ac:dyDescent="0.25">
      <c r="B478" t="str">
        <f t="shared" si="7"/>
        <v/>
      </c>
    </row>
    <row r="479" spans="2:2" ht="15" customHeight="1" x14ac:dyDescent="0.25">
      <c r="B479" t="str">
        <f t="shared" si="7"/>
        <v/>
      </c>
    </row>
    <row r="480" spans="2:2" ht="15" customHeight="1" x14ac:dyDescent="0.25">
      <c r="B480" t="str">
        <f t="shared" si="7"/>
        <v/>
      </c>
    </row>
    <row r="481" spans="2:2" ht="15" customHeight="1" x14ac:dyDescent="0.25">
      <c r="B481" t="str">
        <f t="shared" si="7"/>
        <v/>
      </c>
    </row>
    <row r="482" spans="2:2" ht="15" customHeight="1" x14ac:dyDescent="0.25">
      <c r="B482" t="str">
        <f t="shared" si="7"/>
        <v/>
      </c>
    </row>
    <row r="483" spans="2:2" ht="15" customHeight="1" x14ac:dyDescent="0.25">
      <c r="B483" t="str">
        <f t="shared" si="7"/>
        <v/>
      </c>
    </row>
    <row r="484" spans="2:2" ht="15" customHeight="1" x14ac:dyDescent="0.25">
      <c r="B484" t="str">
        <f t="shared" si="7"/>
        <v/>
      </c>
    </row>
    <row r="485" spans="2:2" ht="15" customHeight="1" x14ac:dyDescent="0.25">
      <c r="B485" t="str">
        <f t="shared" si="7"/>
        <v/>
      </c>
    </row>
    <row r="486" spans="2:2" ht="15" customHeight="1" x14ac:dyDescent="0.25">
      <c r="B486" t="str">
        <f t="shared" si="7"/>
        <v/>
      </c>
    </row>
    <row r="487" spans="2:2" ht="15" customHeight="1" x14ac:dyDescent="0.25">
      <c r="B487" t="str">
        <f t="shared" si="7"/>
        <v/>
      </c>
    </row>
    <row r="488" spans="2:2" ht="15" customHeight="1" x14ac:dyDescent="0.25">
      <c r="B488" t="str">
        <f t="shared" si="7"/>
        <v/>
      </c>
    </row>
    <row r="489" spans="2:2" ht="15" customHeight="1" x14ac:dyDescent="0.25">
      <c r="B489" t="str">
        <f t="shared" si="7"/>
        <v/>
      </c>
    </row>
    <row r="490" spans="2:2" ht="15" customHeight="1" x14ac:dyDescent="0.25">
      <c r="B490" t="str">
        <f t="shared" si="7"/>
        <v/>
      </c>
    </row>
    <row r="491" spans="2:2" ht="15" customHeight="1" x14ac:dyDescent="0.25">
      <c r="B491" t="str">
        <f t="shared" si="7"/>
        <v/>
      </c>
    </row>
    <row r="492" spans="2:2" ht="15" customHeight="1" x14ac:dyDescent="0.25">
      <c r="B492" t="str">
        <f t="shared" si="7"/>
        <v/>
      </c>
    </row>
    <row r="493" spans="2:2" ht="15" customHeight="1" x14ac:dyDescent="0.25">
      <c r="B493" t="str">
        <f t="shared" si="7"/>
        <v/>
      </c>
    </row>
    <row r="494" spans="2:2" ht="15" customHeight="1" x14ac:dyDescent="0.25">
      <c r="B494" t="str">
        <f t="shared" si="7"/>
        <v/>
      </c>
    </row>
    <row r="495" spans="2:2" ht="15" customHeight="1" x14ac:dyDescent="0.25">
      <c r="B495" t="str">
        <f t="shared" si="7"/>
        <v/>
      </c>
    </row>
    <row r="496" spans="2:2" ht="15" customHeight="1" x14ac:dyDescent="0.25">
      <c r="B496" t="str">
        <f t="shared" si="7"/>
        <v/>
      </c>
    </row>
    <row r="497" spans="2:2" ht="15" customHeight="1" x14ac:dyDescent="0.25">
      <c r="B497" t="str">
        <f t="shared" si="7"/>
        <v/>
      </c>
    </row>
    <row r="498" spans="2:2" ht="15" customHeight="1" x14ac:dyDescent="0.25">
      <c r="B498" t="str">
        <f t="shared" si="7"/>
        <v/>
      </c>
    </row>
    <row r="499" spans="2:2" ht="15" customHeight="1" x14ac:dyDescent="0.25">
      <c r="B499" t="str">
        <f t="shared" si="7"/>
        <v/>
      </c>
    </row>
    <row r="500" spans="2:2" ht="15" customHeight="1" x14ac:dyDescent="0.25">
      <c r="B500" t="str">
        <f t="shared" si="7"/>
        <v/>
      </c>
    </row>
  </sheetData>
  <mergeCells count="1">
    <mergeCell ref="A1:I1"/>
  </mergeCells>
  <conditionalFormatting sqref="F4:F500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{301E81F0-8C31-4037-B220-FA7499419F6D}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1E81F0-8C31-4037-B220-FA7499419F6D}">
            <x14:dataBar axisPosition="none">
              <x14:cfvo type="min"/>
              <x14:cfvo type="max"/>
              <x14:negativeFillColor rgb="FFF59E0B"/>
            </x14:dataBar>
          </x14:cfRule>
          <xm:sqref>F4:F500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Categories!$C$2:$C$14</xm:f>
          </x14:formula1>
          <x14:formula2>
            <xm:f>0</xm:f>
          </x14:formula2>
          <xm:sqref>C4:C500</xm:sqref>
        </x14:dataValidation>
        <x14:dataValidation type="list" xr:uid="{00000000-0002-0000-0200-000001000000}">
          <x14:formula1>
            <xm:f>Categories!$E$2:$E$7</xm:f>
          </x14:formula1>
          <x14:formula2>
            <xm:f>0</xm:f>
          </x14:formula2>
          <xm:sqref>G4:G500</xm:sqref>
        </x14:dataValidation>
        <x14:dataValidation type="list" xr:uid="{00000000-0002-0000-0200-000002000000}">
          <x14:formula1>
            <xm:f>Categories!$G$2:$G$8</xm:f>
          </x14:formula1>
          <x14:formula2>
            <xm:f>0</xm:f>
          </x14:formula2>
          <xm:sqref>H4:H500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zoomScaleNormal="100" workbookViewId="0">
      <selection sqref="A1:S1"/>
    </sheetView>
  </sheetViews>
  <sheetFormatPr defaultColWidth="8.6640625" defaultRowHeight="13.2" x14ac:dyDescent="0.25"/>
  <cols>
    <col min="1" max="1" width="22" customWidth="1"/>
    <col min="2" max="19" width="16" customWidth="1"/>
  </cols>
  <sheetData>
    <row r="1" spans="1:26" ht="19.5" customHeight="1" x14ac:dyDescent="0.25">
      <c r="A1" s="22" t="s">
        <v>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75" customHeight="1" x14ac:dyDescent="0.25">
      <c r="A3" s="3" t="s">
        <v>50</v>
      </c>
      <c r="B3" s="3" t="s">
        <v>79</v>
      </c>
      <c r="C3" s="3" t="s">
        <v>80</v>
      </c>
      <c r="D3" s="3" t="s">
        <v>81</v>
      </c>
      <c r="E3" s="3" t="s">
        <v>2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89</v>
      </c>
      <c r="N3" s="3" t="s">
        <v>90</v>
      </c>
      <c r="O3" s="3" t="s">
        <v>91</v>
      </c>
      <c r="P3" s="3" t="s">
        <v>92</v>
      </c>
      <c r="Q3" s="3" t="s">
        <v>93</v>
      </c>
      <c r="R3" s="3" t="s">
        <v>94</v>
      </c>
      <c r="S3" s="3" t="s">
        <v>38</v>
      </c>
      <c r="T3" s="1"/>
      <c r="U3" s="1"/>
      <c r="V3" s="1"/>
      <c r="W3" s="1"/>
      <c r="X3" s="1"/>
      <c r="Y3" s="1"/>
      <c r="Z3" s="1"/>
    </row>
    <row r="4" spans="1:26" ht="15" customHeight="1" x14ac:dyDescent="0.25">
      <c r="A4" s="1" t="s">
        <v>12</v>
      </c>
      <c r="B4" s="1">
        <v>100000</v>
      </c>
      <c r="C4" s="1">
        <f t="shared" ref="C4:C16" si="0">B4*12</f>
        <v>1200000</v>
      </c>
      <c r="D4" s="1">
        <f>SUMIFS(Expenses!$F$4:$F$500,Expenses!$B$4:$B$500,D$3,Expenses!$C$4:$C$500,$A4,Expenses!$H$4:$H$500,"Paid")</f>
        <v>100000</v>
      </c>
      <c r="E4" s="1">
        <f>SUMIFS(Expenses!$F$4:$F$500,Expenses!$B$4:$B$500,E$3,Expenses!$C$4:$C$500,$A4,Expenses!$H$4:$H$500,"Paid")</f>
        <v>100000</v>
      </c>
      <c r="F4" s="1">
        <f>SUMIFS(Expenses!$F$4:$F$500,Expenses!$B$4:$B$500,F$3,Expenses!$C$4:$C$500,$A4,Expenses!$H$4:$H$500,"Paid")</f>
        <v>0</v>
      </c>
      <c r="G4" s="1">
        <f>SUMIFS(Expenses!$F$4:$F$500,Expenses!$B$4:$B$500,G$3,Expenses!$C$4:$C$500,$A4,Expenses!$H$4:$H$500,"Paid")</f>
        <v>0</v>
      </c>
      <c r="H4" s="1">
        <f>SUMIFS(Expenses!$F$4:$F$500,Expenses!$B$4:$B$500,H$3,Expenses!$C$4:$C$500,$A4,Expenses!$H$4:$H$500,"Paid")</f>
        <v>0</v>
      </c>
      <c r="I4" s="1">
        <f>SUMIFS(Expenses!$F$4:$F$500,Expenses!$B$4:$B$500,I$3,Expenses!$C$4:$C$500,$A4,Expenses!$H$4:$H$500,"Paid")</f>
        <v>0</v>
      </c>
      <c r="J4" s="1">
        <f>SUMIFS(Expenses!$F$4:$F$500,Expenses!$B$4:$B$500,J$3,Expenses!$C$4:$C$500,$A4,Expenses!$H$4:$H$500,"Paid")</f>
        <v>0</v>
      </c>
      <c r="K4" s="1">
        <f>SUMIFS(Expenses!$F$4:$F$500,Expenses!$B$4:$B$500,K$3,Expenses!$C$4:$C$500,$A4,Expenses!$H$4:$H$500,"Paid")</f>
        <v>0</v>
      </c>
      <c r="L4" s="1">
        <f>SUMIFS(Expenses!$F$4:$F$500,Expenses!$B$4:$B$500,L$3,Expenses!$C$4:$C$500,$A4,Expenses!$H$4:$H$500,"Paid")</f>
        <v>0</v>
      </c>
      <c r="M4" s="1">
        <f>SUMIFS(Expenses!$F$4:$F$500,Expenses!$B$4:$B$500,M$3,Expenses!$C$4:$C$500,$A4,Expenses!$H$4:$H$500,"Paid")</f>
        <v>0</v>
      </c>
      <c r="N4" s="1">
        <f>SUMIFS(Expenses!$F$4:$F$500,Expenses!$B$4:$B$500,N$3,Expenses!$C$4:$C$500,$A4,Expenses!$H$4:$H$500,"Paid")</f>
        <v>0</v>
      </c>
      <c r="O4" s="1">
        <f>SUMIFS(Expenses!$F$4:$F$500,Expenses!$B$4:$B$500,O$3,Expenses!$C$4:$C$500,$A4,Expenses!$H$4:$H$500,"Paid")</f>
        <v>0</v>
      </c>
      <c r="P4" s="1">
        <f t="shared" ref="P4:P16" si="1">SUM(D4:O4)</f>
        <v>200000</v>
      </c>
      <c r="Q4" s="1">
        <f t="shared" ref="Q4:Q16" si="2">C4-P4</f>
        <v>1000000</v>
      </c>
      <c r="R4" s="8">
        <f t="shared" ref="R4:R17" si="3">IFERROR(P4/C4,0)</f>
        <v>0.16666666666666666</v>
      </c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 t="s">
        <v>13</v>
      </c>
      <c r="B5" s="1">
        <v>20000</v>
      </c>
      <c r="C5" s="1">
        <f t="shared" si="0"/>
        <v>240000</v>
      </c>
      <c r="D5" s="1">
        <f>SUMIFS(Expenses!$F$4:$F$500,Expenses!$B$4:$B$500,D$3,Expenses!$C$4:$C$500,$A5,Expenses!$H$4:$H$500,"Paid")</f>
        <v>18000</v>
      </c>
      <c r="E5" s="1">
        <f>SUMIFS(Expenses!$F$4:$F$500,Expenses!$B$4:$B$500,E$3,Expenses!$C$4:$C$500,$A5,Expenses!$H$4:$H$500,"Paid")</f>
        <v>22000</v>
      </c>
      <c r="F5" s="1">
        <f>SUMIFS(Expenses!$F$4:$F$500,Expenses!$B$4:$B$500,F$3,Expenses!$C$4:$C$500,$A5,Expenses!$H$4:$H$500,"Paid")</f>
        <v>0</v>
      </c>
      <c r="G5" s="1">
        <f>SUMIFS(Expenses!$F$4:$F$500,Expenses!$B$4:$B$500,G$3,Expenses!$C$4:$C$500,$A5,Expenses!$H$4:$H$500,"Paid")</f>
        <v>0</v>
      </c>
      <c r="H5" s="1">
        <f>SUMIFS(Expenses!$F$4:$F$500,Expenses!$B$4:$B$500,H$3,Expenses!$C$4:$C$500,$A5,Expenses!$H$4:$H$500,"Paid")</f>
        <v>0</v>
      </c>
      <c r="I5" s="1">
        <f>SUMIFS(Expenses!$F$4:$F$500,Expenses!$B$4:$B$500,I$3,Expenses!$C$4:$C$500,$A5,Expenses!$H$4:$H$500,"Paid")</f>
        <v>0</v>
      </c>
      <c r="J5" s="1">
        <f>SUMIFS(Expenses!$F$4:$F$500,Expenses!$B$4:$B$500,J$3,Expenses!$C$4:$C$500,$A5,Expenses!$H$4:$H$500,"Paid")</f>
        <v>0</v>
      </c>
      <c r="K5" s="1">
        <f>SUMIFS(Expenses!$F$4:$F$500,Expenses!$B$4:$B$500,K$3,Expenses!$C$4:$C$500,$A5,Expenses!$H$4:$H$500,"Paid")</f>
        <v>0</v>
      </c>
      <c r="L5" s="1">
        <f>SUMIFS(Expenses!$F$4:$F$500,Expenses!$B$4:$B$500,L$3,Expenses!$C$4:$C$500,$A5,Expenses!$H$4:$H$500,"Paid")</f>
        <v>0</v>
      </c>
      <c r="M5" s="1">
        <f>SUMIFS(Expenses!$F$4:$F$500,Expenses!$B$4:$B$500,M$3,Expenses!$C$4:$C$500,$A5,Expenses!$H$4:$H$500,"Paid")</f>
        <v>0</v>
      </c>
      <c r="N5" s="1">
        <f>SUMIFS(Expenses!$F$4:$F$500,Expenses!$B$4:$B$500,N$3,Expenses!$C$4:$C$500,$A5,Expenses!$H$4:$H$500,"Paid")</f>
        <v>0</v>
      </c>
      <c r="O5" s="1">
        <f>SUMIFS(Expenses!$F$4:$F$500,Expenses!$B$4:$B$500,O$3,Expenses!$C$4:$C$500,$A5,Expenses!$H$4:$H$500,"Paid")</f>
        <v>0</v>
      </c>
      <c r="P5" s="1">
        <f t="shared" si="1"/>
        <v>40000</v>
      </c>
      <c r="Q5" s="1">
        <f t="shared" si="2"/>
        <v>200000</v>
      </c>
      <c r="R5" s="8">
        <f t="shared" si="3"/>
        <v>0.16666666666666666</v>
      </c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 t="s">
        <v>14</v>
      </c>
      <c r="B6" s="1">
        <v>35000</v>
      </c>
      <c r="C6" s="1">
        <f t="shared" si="0"/>
        <v>420000</v>
      </c>
      <c r="D6" s="1">
        <f>SUMIFS(Expenses!$F$4:$F$500,Expenses!$B$4:$B$500,D$3,Expenses!$C$4:$C$500,$A6,Expenses!$H$4:$H$500,"Paid")</f>
        <v>35000</v>
      </c>
      <c r="E6" s="1">
        <f>SUMIFS(Expenses!$F$4:$F$500,Expenses!$B$4:$B$500,E$3,Expenses!$C$4:$C$500,$A6,Expenses!$H$4:$H$500,"Paid")</f>
        <v>35000</v>
      </c>
      <c r="F6" s="1">
        <f>SUMIFS(Expenses!$F$4:$F$500,Expenses!$B$4:$B$500,F$3,Expenses!$C$4:$C$500,$A6,Expenses!$H$4:$H$500,"Paid")</f>
        <v>0</v>
      </c>
      <c r="G6" s="1">
        <f>SUMIFS(Expenses!$F$4:$F$500,Expenses!$B$4:$B$500,G$3,Expenses!$C$4:$C$500,$A6,Expenses!$H$4:$H$500,"Paid")</f>
        <v>0</v>
      </c>
      <c r="H6" s="1">
        <f>SUMIFS(Expenses!$F$4:$F$500,Expenses!$B$4:$B$500,H$3,Expenses!$C$4:$C$500,$A6,Expenses!$H$4:$H$500,"Paid")</f>
        <v>0</v>
      </c>
      <c r="I6" s="1">
        <f>SUMIFS(Expenses!$F$4:$F$500,Expenses!$B$4:$B$500,I$3,Expenses!$C$4:$C$500,$A6,Expenses!$H$4:$H$500,"Paid")</f>
        <v>0</v>
      </c>
      <c r="J6" s="1">
        <f>SUMIFS(Expenses!$F$4:$F$500,Expenses!$B$4:$B$500,J$3,Expenses!$C$4:$C$500,$A6,Expenses!$H$4:$H$500,"Paid")</f>
        <v>0</v>
      </c>
      <c r="K6" s="1">
        <f>SUMIFS(Expenses!$F$4:$F$500,Expenses!$B$4:$B$500,K$3,Expenses!$C$4:$C$500,$A6,Expenses!$H$4:$H$500,"Paid")</f>
        <v>0</v>
      </c>
      <c r="L6" s="1">
        <f>SUMIFS(Expenses!$F$4:$F$500,Expenses!$B$4:$B$500,L$3,Expenses!$C$4:$C$500,$A6,Expenses!$H$4:$H$500,"Paid")</f>
        <v>0</v>
      </c>
      <c r="M6" s="1">
        <f>SUMIFS(Expenses!$F$4:$F$500,Expenses!$B$4:$B$500,M$3,Expenses!$C$4:$C$500,$A6,Expenses!$H$4:$H$500,"Paid")</f>
        <v>0</v>
      </c>
      <c r="N6" s="1">
        <f>SUMIFS(Expenses!$F$4:$F$500,Expenses!$B$4:$B$500,N$3,Expenses!$C$4:$C$500,$A6,Expenses!$H$4:$H$500,"Paid")</f>
        <v>0</v>
      </c>
      <c r="O6" s="1">
        <f>SUMIFS(Expenses!$F$4:$F$500,Expenses!$B$4:$B$500,O$3,Expenses!$C$4:$C$500,$A6,Expenses!$H$4:$H$500,"Paid")</f>
        <v>0</v>
      </c>
      <c r="P6" s="1">
        <f t="shared" si="1"/>
        <v>70000</v>
      </c>
      <c r="Q6" s="1">
        <f t="shared" si="2"/>
        <v>350000</v>
      </c>
      <c r="R6" s="8">
        <f t="shared" si="3"/>
        <v>0.16666666666666666</v>
      </c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 t="s">
        <v>15</v>
      </c>
      <c r="B7" s="1">
        <v>50000</v>
      </c>
      <c r="C7" s="1">
        <f t="shared" si="0"/>
        <v>600000</v>
      </c>
      <c r="D7" s="1">
        <f>SUMIFS(Expenses!$F$4:$F$500,Expenses!$B$4:$B$500,D$3,Expenses!$C$4:$C$500,$A7,Expenses!$H$4:$H$500,"Paid")</f>
        <v>45000</v>
      </c>
      <c r="E7" s="1">
        <f>SUMIFS(Expenses!$F$4:$F$500,Expenses!$B$4:$B$500,E$3,Expenses!$C$4:$C$500,$A7,Expenses!$H$4:$H$500,"Paid")</f>
        <v>50000</v>
      </c>
      <c r="F7" s="1">
        <f>SUMIFS(Expenses!$F$4:$F$500,Expenses!$B$4:$B$500,F$3,Expenses!$C$4:$C$500,$A7,Expenses!$H$4:$H$500,"Paid")</f>
        <v>0</v>
      </c>
      <c r="G7" s="1">
        <f>SUMIFS(Expenses!$F$4:$F$500,Expenses!$B$4:$B$500,G$3,Expenses!$C$4:$C$500,$A7,Expenses!$H$4:$H$500,"Paid")</f>
        <v>0</v>
      </c>
      <c r="H7" s="1">
        <f>SUMIFS(Expenses!$F$4:$F$500,Expenses!$B$4:$B$500,H$3,Expenses!$C$4:$C$500,$A7,Expenses!$H$4:$H$500,"Paid")</f>
        <v>0</v>
      </c>
      <c r="I7" s="1">
        <f>SUMIFS(Expenses!$F$4:$F$500,Expenses!$B$4:$B$500,I$3,Expenses!$C$4:$C$500,$A7,Expenses!$H$4:$H$500,"Paid")</f>
        <v>0</v>
      </c>
      <c r="J7" s="1">
        <f>SUMIFS(Expenses!$F$4:$F$500,Expenses!$B$4:$B$500,J$3,Expenses!$C$4:$C$500,$A7,Expenses!$H$4:$H$500,"Paid")</f>
        <v>0</v>
      </c>
      <c r="K7" s="1">
        <f>SUMIFS(Expenses!$F$4:$F$500,Expenses!$B$4:$B$500,K$3,Expenses!$C$4:$C$500,$A7,Expenses!$H$4:$H$500,"Paid")</f>
        <v>0</v>
      </c>
      <c r="L7" s="1">
        <f>SUMIFS(Expenses!$F$4:$F$500,Expenses!$B$4:$B$500,L$3,Expenses!$C$4:$C$500,$A7,Expenses!$H$4:$H$500,"Paid")</f>
        <v>0</v>
      </c>
      <c r="M7" s="1">
        <f>SUMIFS(Expenses!$F$4:$F$500,Expenses!$B$4:$B$500,M$3,Expenses!$C$4:$C$500,$A7,Expenses!$H$4:$H$500,"Paid")</f>
        <v>0</v>
      </c>
      <c r="N7" s="1">
        <f>SUMIFS(Expenses!$F$4:$F$500,Expenses!$B$4:$B$500,N$3,Expenses!$C$4:$C$500,$A7,Expenses!$H$4:$H$500,"Paid")</f>
        <v>0</v>
      </c>
      <c r="O7" s="1">
        <f>SUMIFS(Expenses!$F$4:$F$500,Expenses!$B$4:$B$500,O$3,Expenses!$C$4:$C$500,$A7,Expenses!$H$4:$H$500,"Paid")</f>
        <v>0</v>
      </c>
      <c r="P7" s="1">
        <f t="shared" si="1"/>
        <v>95000</v>
      </c>
      <c r="Q7" s="1">
        <f t="shared" si="2"/>
        <v>505000</v>
      </c>
      <c r="R7" s="8">
        <f t="shared" si="3"/>
        <v>0.15833333333333333</v>
      </c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 t="s">
        <v>16</v>
      </c>
      <c r="B8" s="1">
        <v>150000</v>
      </c>
      <c r="C8" s="1">
        <f t="shared" si="0"/>
        <v>1800000</v>
      </c>
      <c r="D8" s="1">
        <f>SUMIFS(Expenses!$F$4:$F$500,Expenses!$B$4:$B$500,D$3,Expenses!$C$4:$C$500,$A8,Expenses!$H$4:$H$500,"Paid")</f>
        <v>95000</v>
      </c>
      <c r="E8" s="1">
        <f>SUMIFS(Expenses!$F$4:$F$500,Expenses!$B$4:$B$500,E$3,Expenses!$C$4:$C$500,$A8,Expenses!$H$4:$H$500,"Paid")</f>
        <v>105000</v>
      </c>
      <c r="F8" s="1">
        <f>SUMIFS(Expenses!$F$4:$F$500,Expenses!$B$4:$B$500,F$3,Expenses!$C$4:$C$500,$A8,Expenses!$H$4:$H$500,"Paid")</f>
        <v>0</v>
      </c>
      <c r="G8" s="1">
        <f>SUMIFS(Expenses!$F$4:$F$500,Expenses!$B$4:$B$500,G$3,Expenses!$C$4:$C$500,$A8,Expenses!$H$4:$H$500,"Paid")</f>
        <v>0</v>
      </c>
      <c r="H8" s="1">
        <f>SUMIFS(Expenses!$F$4:$F$500,Expenses!$B$4:$B$500,H$3,Expenses!$C$4:$C$500,$A8,Expenses!$H$4:$H$500,"Paid")</f>
        <v>0</v>
      </c>
      <c r="I8" s="1">
        <f>SUMIFS(Expenses!$F$4:$F$500,Expenses!$B$4:$B$500,I$3,Expenses!$C$4:$C$500,$A8,Expenses!$H$4:$H$500,"Paid")</f>
        <v>0</v>
      </c>
      <c r="J8" s="1">
        <f>SUMIFS(Expenses!$F$4:$F$500,Expenses!$B$4:$B$500,J$3,Expenses!$C$4:$C$500,$A8,Expenses!$H$4:$H$500,"Paid")</f>
        <v>0</v>
      </c>
      <c r="K8" s="1">
        <f>SUMIFS(Expenses!$F$4:$F$500,Expenses!$B$4:$B$500,K$3,Expenses!$C$4:$C$500,$A8,Expenses!$H$4:$H$500,"Paid")</f>
        <v>0</v>
      </c>
      <c r="L8" s="1">
        <f>SUMIFS(Expenses!$F$4:$F$500,Expenses!$B$4:$B$500,L$3,Expenses!$C$4:$C$500,$A8,Expenses!$H$4:$H$500,"Paid")</f>
        <v>0</v>
      </c>
      <c r="M8" s="1">
        <f>SUMIFS(Expenses!$F$4:$F$500,Expenses!$B$4:$B$500,M$3,Expenses!$C$4:$C$500,$A8,Expenses!$H$4:$H$500,"Paid")</f>
        <v>0</v>
      </c>
      <c r="N8" s="1">
        <f>SUMIFS(Expenses!$F$4:$F$500,Expenses!$B$4:$B$500,N$3,Expenses!$C$4:$C$500,$A8,Expenses!$H$4:$H$500,"Paid")</f>
        <v>0</v>
      </c>
      <c r="O8" s="1">
        <f>SUMIFS(Expenses!$F$4:$F$500,Expenses!$B$4:$B$500,O$3,Expenses!$C$4:$C$500,$A8,Expenses!$H$4:$H$500,"Paid")</f>
        <v>0</v>
      </c>
      <c r="P8" s="1">
        <f t="shared" si="1"/>
        <v>200000</v>
      </c>
      <c r="Q8" s="1">
        <f t="shared" si="2"/>
        <v>1600000</v>
      </c>
      <c r="R8" s="8">
        <f t="shared" si="3"/>
        <v>0.1111111111111111</v>
      </c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 t="s">
        <v>17</v>
      </c>
      <c r="B9" s="1">
        <v>50000</v>
      </c>
      <c r="C9" s="1">
        <f t="shared" si="0"/>
        <v>600000</v>
      </c>
      <c r="D9" s="1">
        <f>SUMIFS(Expenses!$F$4:$F$500,Expenses!$B$4:$B$500,D$3,Expenses!$C$4:$C$500,$A9,Expenses!$H$4:$H$500,"Paid")</f>
        <v>42000</v>
      </c>
      <c r="E9" s="1">
        <f>SUMIFS(Expenses!$F$4:$F$500,Expenses!$B$4:$B$500,E$3,Expenses!$C$4:$C$500,$A9,Expenses!$H$4:$H$500,"Paid")</f>
        <v>45000</v>
      </c>
      <c r="F9" s="1">
        <f>SUMIFS(Expenses!$F$4:$F$500,Expenses!$B$4:$B$500,F$3,Expenses!$C$4:$C$500,$A9,Expenses!$H$4:$H$500,"Paid")</f>
        <v>0</v>
      </c>
      <c r="G9" s="1">
        <f>SUMIFS(Expenses!$F$4:$F$500,Expenses!$B$4:$B$500,G$3,Expenses!$C$4:$C$500,$A9,Expenses!$H$4:$H$500,"Paid")</f>
        <v>0</v>
      </c>
      <c r="H9" s="1">
        <f>SUMIFS(Expenses!$F$4:$F$500,Expenses!$B$4:$B$500,H$3,Expenses!$C$4:$C$500,$A9,Expenses!$H$4:$H$500,"Paid")</f>
        <v>0</v>
      </c>
      <c r="I9" s="1">
        <f>SUMIFS(Expenses!$F$4:$F$500,Expenses!$B$4:$B$500,I$3,Expenses!$C$4:$C$500,$A9,Expenses!$H$4:$H$500,"Paid")</f>
        <v>0</v>
      </c>
      <c r="J9" s="1">
        <f>SUMIFS(Expenses!$F$4:$F$500,Expenses!$B$4:$B$500,J$3,Expenses!$C$4:$C$500,$A9,Expenses!$H$4:$H$500,"Paid")</f>
        <v>0</v>
      </c>
      <c r="K9" s="1">
        <f>SUMIFS(Expenses!$F$4:$F$500,Expenses!$B$4:$B$500,K$3,Expenses!$C$4:$C$500,$A9,Expenses!$H$4:$H$500,"Paid")</f>
        <v>0</v>
      </c>
      <c r="L9" s="1">
        <f>SUMIFS(Expenses!$F$4:$F$500,Expenses!$B$4:$B$500,L$3,Expenses!$C$4:$C$500,$A9,Expenses!$H$4:$H$500,"Paid")</f>
        <v>0</v>
      </c>
      <c r="M9" s="1">
        <f>SUMIFS(Expenses!$F$4:$F$500,Expenses!$B$4:$B$500,M$3,Expenses!$C$4:$C$500,$A9,Expenses!$H$4:$H$500,"Paid")</f>
        <v>0</v>
      </c>
      <c r="N9" s="1">
        <f>SUMIFS(Expenses!$F$4:$F$500,Expenses!$B$4:$B$500,N$3,Expenses!$C$4:$C$500,$A9,Expenses!$H$4:$H$500,"Paid")</f>
        <v>0</v>
      </c>
      <c r="O9" s="1">
        <f>SUMIFS(Expenses!$F$4:$F$500,Expenses!$B$4:$B$500,O$3,Expenses!$C$4:$C$500,$A9,Expenses!$H$4:$H$500,"Paid")</f>
        <v>0</v>
      </c>
      <c r="P9" s="1">
        <f t="shared" si="1"/>
        <v>87000</v>
      </c>
      <c r="Q9" s="1">
        <f t="shared" si="2"/>
        <v>513000</v>
      </c>
      <c r="R9" s="8">
        <f t="shared" si="3"/>
        <v>0.14499999999999999</v>
      </c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 t="s">
        <v>18</v>
      </c>
      <c r="B10" s="1">
        <v>50000</v>
      </c>
      <c r="C10" s="1">
        <f t="shared" si="0"/>
        <v>600000</v>
      </c>
      <c r="D10" s="1">
        <f>SUMIFS(Expenses!$F$4:$F$500,Expenses!$B$4:$B$500,D$3,Expenses!$C$4:$C$500,$A10,Expenses!$H$4:$H$500,"Paid")</f>
        <v>25000</v>
      </c>
      <c r="E10" s="1">
        <f>SUMIFS(Expenses!$F$4:$F$500,Expenses!$B$4:$B$500,E$3,Expenses!$C$4:$C$500,$A10,Expenses!$H$4:$H$500,"Paid")</f>
        <v>30000</v>
      </c>
      <c r="F10" s="1">
        <f>SUMIFS(Expenses!$F$4:$F$500,Expenses!$B$4:$B$500,F$3,Expenses!$C$4:$C$500,$A10,Expenses!$H$4:$H$500,"Paid")</f>
        <v>0</v>
      </c>
      <c r="G10" s="1">
        <f>SUMIFS(Expenses!$F$4:$F$500,Expenses!$B$4:$B$500,G$3,Expenses!$C$4:$C$500,$A10,Expenses!$H$4:$H$500,"Paid")</f>
        <v>0</v>
      </c>
      <c r="H10" s="1">
        <f>SUMIFS(Expenses!$F$4:$F$500,Expenses!$B$4:$B$500,H$3,Expenses!$C$4:$C$500,$A10,Expenses!$H$4:$H$500,"Paid")</f>
        <v>0</v>
      </c>
      <c r="I10" s="1">
        <f>SUMIFS(Expenses!$F$4:$F$500,Expenses!$B$4:$B$500,I$3,Expenses!$C$4:$C$500,$A10,Expenses!$H$4:$H$500,"Paid")</f>
        <v>0</v>
      </c>
      <c r="J10" s="1">
        <f>SUMIFS(Expenses!$F$4:$F$500,Expenses!$B$4:$B$500,J$3,Expenses!$C$4:$C$500,$A10,Expenses!$H$4:$H$500,"Paid")</f>
        <v>0</v>
      </c>
      <c r="K10" s="1">
        <f>SUMIFS(Expenses!$F$4:$F$500,Expenses!$B$4:$B$500,K$3,Expenses!$C$4:$C$500,$A10,Expenses!$H$4:$H$500,"Paid")</f>
        <v>0</v>
      </c>
      <c r="L10" s="1">
        <f>SUMIFS(Expenses!$F$4:$F$500,Expenses!$B$4:$B$500,L$3,Expenses!$C$4:$C$500,$A10,Expenses!$H$4:$H$500,"Paid")</f>
        <v>0</v>
      </c>
      <c r="M10" s="1">
        <f>SUMIFS(Expenses!$F$4:$F$500,Expenses!$B$4:$B$500,M$3,Expenses!$C$4:$C$500,$A10,Expenses!$H$4:$H$500,"Paid")</f>
        <v>0</v>
      </c>
      <c r="N10" s="1">
        <f>SUMIFS(Expenses!$F$4:$F$500,Expenses!$B$4:$B$500,N$3,Expenses!$C$4:$C$500,$A10,Expenses!$H$4:$H$500,"Paid")</f>
        <v>0</v>
      </c>
      <c r="O10" s="1">
        <f>SUMIFS(Expenses!$F$4:$F$500,Expenses!$B$4:$B$500,O$3,Expenses!$C$4:$C$500,$A10,Expenses!$H$4:$H$500,"Paid")</f>
        <v>0</v>
      </c>
      <c r="P10" s="1">
        <f t="shared" si="1"/>
        <v>55000</v>
      </c>
      <c r="Q10" s="1">
        <f t="shared" si="2"/>
        <v>545000</v>
      </c>
      <c r="R10" s="8">
        <f t="shared" si="3"/>
        <v>9.166666666666666E-2</v>
      </c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 t="s">
        <v>19</v>
      </c>
      <c r="B11" s="1">
        <v>80000</v>
      </c>
      <c r="C11" s="1">
        <f t="shared" si="0"/>
        <v>960000</v>
      </c>
      <c r="D11" s="1">
        <f>SUMIFS(Expenses!$F$4:$F$500,Expenses!$B$4:$B$500,D$3,Expenses!$C$4:$C$500,$A11,Expenses!$H$4:$H$500,"Paid")</f>
        <v>80000</v>
      </c>
      <c r="E11" s="1">
        <f>SUMIFS(Expenses!$F$4:$F$500,Expenses!$B$4:$B$500,E$3,Expenses!$C$4:$C$500,$A11,Expenses!$H$4:$H$500,"Paid")</f>
        <v>80000</v>
      </c>
      <c r="F11" s="1">
        <f>SUMIFS(Expenses!$F$4:$F$500,Expenses!$B$4:$B$500,F$3,Expenses!$C$4:$C$500,$A11,Expenses!$H$4:$H$500,"Paid")</f>
        <v>0</v>
      </c>
      <c r="G11" s="1">
        <f>SUMIFS(Expenses!$F$4:$F$500,Expenses!$B$4:$B$500,G$3,Expenses!$C$4:$C$500,$A11,Expenses!$H$4:$H$500,"Paid")</f>
        <v>0</v>
      </c>
      <c r="H11" s="1">
        <f>SUMIFS(Expenses!$F$4:$F$500,Expenses!$B$4:$B$500,H$3,Expenses!$C$4:$C$500,$A11,Expenses!$H$4:$H$500,"Paid")</f>
        <v>0</v>
      </c>
      <c r="I11" s="1">
        <f>SUMIFS(Expenses!$F$4:$F$500,Expenses!$B$4:$B$500,I$3,Expenses!$C$4:$C$500,$A11,Expenses!$H$4:$H$500,"Paid")</f>
        <v>0</v>
      </c>
      <c r="J11" s="1">
        <f>SUMIFS(Expenses!$F$4:$F$500,Expenses!$B$4:$B$500,J$3,Expenses!$C$4:$C$500,$A11,Expenses!$H$4:$H$500,"Paid")</f>
        <v>0</v>
      </c>
      <c r="K11" s="1">
        <f>SUMIFS(Expenses!$F$4:$F$500,Expenses!$B$4:$B$500,K$3,Expenses!$C$4:$C$500,$A11,Expenses!$H$4:$H$500,"Paid")</f>
        <v>0</v>
      </c>
      <c r="L11" s="1">
        <f>SUMIFS(Expenses!$F$4:$F$500,Expenses!$B$4:$B$500,L$3,Expenses!$C$4:$C$500,$A11,Expenses!$H$4:$H$500,"Paid")</f>
        <v>0</v>
      </c>
      <c r="M11" s="1">
        <f>SUMIFS(Expenses!$F$4:$F$500,Expenses!$B$4:$B$500,M$3,Expenses!$C$4:$C$500,$A11,Expenses!$H$4:$H$500,"Paid")</f>
        <v>0</v>
      </c>
      <c r="N11" s="1">
        <f>SUMIFS(Expenses!$F$4:$F$500,Expenses!$B$4:$B$500,N$3,Expenses!$C$4:$C$500,$A11,Expenses!$H$4:$H$500,"Paid")</f>
        <v>0</v>
      </c>
      <c r="O11" s="1">
        <f>SUMIFS(Expenses!$F$4:$F$500,Expenses!$B$4:$B$500,O$3,Expenses!$C$4:$C$500,$A11,Expenses!$H$4:$H$500,"Paid")</f>
        <v>0</v>
      </c>
      <c r="P11" s="1">
        <f t="shared" si="1"/>
        <v>160000</v>
      </c>
      <c r="Q11" s="1">
        <f t="shared" si="2"/>
        <v>800000</v>
      </c>
      <c r="R11" s="8">
        <f t="shared" si="3"/>
        <v>0.16666666666666666</v>
      </c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 t="s">
        <v>20</v>
      </c>
      <c r="B12" s="1">
        <v>120000</v>
      </c>
      <c r="C12" s="1">
        <f t="shared" si="0"/>
        <v>1440000</v>
      </c>
      <c r="D12" s="1">
        <f>SUMIFS(Expenses!$F$4:$F$500,Expenses!$B$4:$B$500,D$3,Expenses!$C$4:$C$500,$A12,Expenses!$H$4:$H$500,"Paid")</f>
        <v>120000</v>
      </c>
      <c r="E12" s="1">
        <f>SUMIFS(Expenses!$F$4:$F$500,Expenses!$B$4:$B$500,E$3,Expenses!$C$4:$C$500,$A12,Expenses!$H$4:$H$500,"Paid")</f>
        <v>120000</v>
      </c>
      <c r="F12" s="1">
        <f>SUMIFS(Expenses!$F$4:$F$500,Expenses!$B$4:$B$500,F$3,Expenses!$C$4:$C$500,$A12,Expenses!$H$4:$H$500,"Paid")</f>
        <v>0</v>
      </c>
      <c r="G12" s="1">
        <f>SUMIFS(Expenses!$F$4:$F$500,Expenses!$B$4:$B$500,G$3,Expenses!$C$4:$C$500,$A12,Expenses!$H$4:$H$500,"Paid")</f>
        <v>0</v>
      </c>
      <c r="H12" s="1">
        <f>SUMIFS(Expenses!$F$4:$F$500,Expenses!$B$4:$B$500,H$3,Expenses!$C$4:$C$500,$A12,Expenses!$H$4:$H$500,"Paid")</f>
        <v>0</v>
      </c>
      <c r="I12" s="1">
        <f>SUMIFS(Expenses!$F$4:$F$500,Expenses!$B$4:$B$500,I$3,Expenses!$C$4:$C$500,$A12,Expenses!$H$4:$H$500,"Paid")</f>
        <v>0</v>
      </c>
      <c r="J12" s="1">
        <f>SUMIFS(Expenses!$F$4:$F$500,Expenses!$B$4:$B$500,J$3,Expenses!$C$4:$C$500,$A12,Expenses!$H$4:$H$500,"Paid")</f>
        <v>0</v>
      </c>
      <c r="K12" s="1">
        <f>SUMIFS(Expenses!$F$4:$F$500,Expenses!$B$4:$B$500,K$3,Expenses!$C$4:$C$500,$A12,Expenses!$H$4:$H$500,"Paid")</f>
        <v>0</v>
      </c>
      <c r="L12" s="1">
        <f>SUMIFS(Expenses!$F$4:$F$500,Expenses!$B$4:$B$500,L$3,Expenses!$C$4:$C$500,$A12,Expenses!$H$4:$H$500,"Paid")</f>
        <v>0</v>
      </c>
      <c r="M12" s="1">
        <f>SUMIFS(Expenses!$F$4:$F$500,Expenses!$B$4:$B$500,M$3,Expenses!$C$4:$C$500,$A12,Expenses!$H$4:$H$500,"Paid")</f>
        <v>0</v>
      </c>
      <c r="N12" s="1">
        <f>SUMIFS(Expenses!$F$4:$F$500,Expenses!$B$4:$B$500,N$3,Expenses!$C$4:$C$500,$A12,Expenses!$H$4:$H$500,"Paid")</f>
        <v>0</v>
      </c>
      <c r="O12" s="1">
        <f>SUMIFS(Expenses!$F$4:$F$500,Expenses!$B$4:$B$500,O$3,Expenses!$C$4:$C$500,$A12,Expenses!$H$4:$H$500,"Paid")</f>
        <v>0</v>
      </c>
      <c r="P12" s="1">
        <f t="shared" si="1"/>
        <v>240000</v>
      </c>
      <c r="Q12" s="1">
        <f t="shared" si="2"/>
        <v>1200000</v>
      </c>
      <c r="R12" s="8">
        <f t="shared" si="3"/>
        <v>0.16666666666666666</v>
      </c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 t="s">
        <v>21</v>
      </c>
      <c r="B13" s="1">
        <v>30000</v>
      </c>
      <c r="C13" s="1">
        <f t="shared" si="0"/>
        <v>360000</v>
      </c>
      <c r="D13" s="1">
        <f>SUMIFS(Expenses!$F$4:$F$500,Expenses!$B$4:$B$500,D$3,Expenses!$C$4:$C$500,$A13,Expenses!$H$4:$H$500,"Paid")</f>
        <v>30000</v>
      </c>
      <c r="E13" s="1">
        <f>SUMIFS(Expenses!$F$4:$F$500,Expenses!$B$4:$B$500,E$3,Expenses!$C$4:$C$500,$A13,Expenses!$H$4:$H$500,"Paid")</f>
        <v>30000</v>
      </c>
      <c r="F13" s="1">
        <f>SUMIFS(Expenses!$F$4:$F$500,Expenses!$B$4:$B$500,F$3,Expenses!$C$4:$C$500,$A13,Expenses!$H$4:$H$500,"Paid")</f>
        <v>0</v>
      </c>
      <c r="G13" s="1">
        <f>SUMIFS(Expenses!$F$4:$F$500,Expenses!$B$4:$B$500,G$3,Expenses!$C$4:$C$500,$A13,Expenses!$H$4:$H$500,"Paid")</f>
        <v>0</v>
      </c>
      <c r="H13" s="1">
        <f>SUMIFS(Expenses!$F$4:$F$500,Expenses!$B$4:$B$500,H$3,Expenses!$C$4:$C$500,$A13,Expenses!$H$4:$H$500,"Paid")</f>
        <v>0</v>
      </c>
      <c r="I13" s="1">
        <f>SUMIFS(Expenses!$F$4:$F$500,Expenses!$B$4:$B$500,I$3,Expenses!$C$4:$C$500,$A13,Expenses!$H$4:$H$500,"Paid")</f>
        <v>0</v>
      </c>
      <c r="J13" s="1">
        <f>SUMIFS(Expenses!$F$4:$F$500,Expenses!$B$4:$B$500,J$3,Expenses!$C$4:$C$500,$A13,Expenses!$H$4:$H$500,"Paid")</f>
        <v>0</v>
      </c>
      <c r="K13" s="1">
        <f>SUMIFS(Expenses!$F$4:$F$500,Expenses!$B$4:$B$500,K$3,Expenses!$C$4:$C$500,$A13,Expenses!$H$4:$H$500,"Paid")</f>
        <v>0</v>
      </c>
      <c r="L13" s="1">
        <f>SUMIFS(Expenses!$F$4:$F$500,Expenses!$B$4:$B$500,L$3,Expenses!$C$4:$C$500,$A13,Expenses!$H$4:$H$500,"Paid")</f>
        <v>0</v>
      </c>
      <c r="M13" s="1">
        <f>SUMIFS(Expenses!$F$4:$F$500,Expenses!$B$4:$B$500,M$3,Expenses!$C$4:$C$500,$A13,Expenses!$H$4:$H$500,"Paid")</f>
        <v>0</v>
      </c>
      <c r="N13" s="1">
        <f>SUMIFS(Expenses!$F$4:$F$500,Expenses!$B$4:$B$500,N$3,Expenses!$C$4:$C$500,$A13,Expenses!$H$4:$H$500,"Paid")</f>
        <v>0</v>
      </c>
      <c r="O13" s="1">
        <f>SUMIFS(Expenses!$F$4:$F$500,Expenses!$B$4:$B$500,O$3,Expenses!$C$4:$C$500,$A13,Expenses!$H$4:$H$500,"Paid")</f>
        <v>0</v>
      </c>
      <c r="P13" s="1">
        <f t="shared" si="1"/>
        <v>60000</v>
      </c>
      <c r="Q13" s="1">
        <f t="shared" si="2"/>
        <v>300000</v>
      </c>
      <c r="R13" s="8">
        <f t="shared" si="3"/>
        <v>0.16666666666666666</v>
      </c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 t="s">
        <v>22</v>
      </c>
      <c r="B14" s="1">
        <v>20000</v>
      </c>
      <c r="C14" s="1">
        <f t="shared" si="0"/>
        <v>240000</v>
      </c>
      <c r="D14" s="1">
        <f>SUMIFS(Expenses!$F$4:$F$500,Expenses!$B$4:$B$500,D$3,Expenses!$C$4:$C$500,$A14,Expenses!$H$4:$H$500,"Paid")</f>
        <v>20000</v>
      </c>
      <c r="E14" s="1">
        <f>SUMIFS(Expenses!$F$4:$F$500,Expenses!$B$4:$B$500,E$3,Expenses!$C$4:$C$500,$A14,Expenses!$H$4:$H$500,"Paid")</f>
        <v>25000</v>
      </c>
      <c r="F14" s="1">
        <f>SUMIFS(Expenses!$F$4:$F$500,Expenses!$B$4:$B$500,F$3,Expenses!$C$4:$C$500,$A14,Expenses!$H$4:$H$500,"Paid")</f>
        <v>0</v>
      </c>
      <c r="G14" s="1">
        <f>SUMIFS(Expenses!$F$4:$F$500,Expenses!$B$4:$B$500,G$3,Expenses!$C$4:$C$500,$A14,Expenses!$H$4:$H$500,"Paid")</f>
        <v>0</v>
      </c>
      <c r="H14" s="1">
        <f>SUMIFS(Expenses!$F$4:$F$500,Expenses!$B$4:$B$500,H$3,Expenses!$C$4:$C$500,$A14,Expenses!$H$4:$H$500,"Paid")</f>
        <v>0</v>
      </c>
      <c r="I14" s="1">
        <f>SUMIFS(Expenses!$F$4:$F$500,Expenses!$B$4:$B$500,I$3,Expenses!$C$4:$C$500,$A14,Expenses!$H$4:$H$500,"Paid")</f>
        <v>0</v>
      </c>
      <c r="J14" s="1">
        <f>SUMIFS(Expenses!$F$4:$F$500,Expenses!$B$4:$B$500,J$3,Expenses!$C$4:$C$500,$A14,Expenses!$H$4:$H$500,"Paid")</f>
        <v>0</v>
      </c>
      <c r="K14" s="1">
        <f>SUMIFS(Expenses!$F$4:$F$500,Expenses!$B$4:$B$500,K$3,Expenses!$C$4:$C$500,$A14,Expenses!$H$4:$H$500,"Paid")</f>
        <v>0</v>
      </c>
      <c r="L14" s="1">
        <f>SUMIFS(Expenses!$F$4:$F$500,Expenses!$B$4:$B$500,L$3,Expenses!$C$4:$C$500,$A14,Expenses!$H$4:$H$500,"Paid")</f>
        <v>0</v>
      </c>
      <c r="M14" s="1">
        <f>SUMIFS(Expenses!$F$4:$F$500,Expenses!$B$4:$B$500,M$3,Expenses!$C$4:$C$500,$A14,Expenses!$H$4:$H$500,"Paid")</f>
        <v>0</v>
      </c>
      <c r="N14" s="1">
        <f>SUMIFS(Expenses!$F$4:$F$500,Expenses!$B$4:$B$500,N$3,Expenses!$C$4:$C$500,$A14,Expenses!$H$4:$H$500,"Paid")</f>
        <v>0</v>
      </c>
      <c r="O14" s="1">
        <f>SUMIFS(Expenses!$F$4:$F$500,Expenses!$B$4:$B$500,O$3,Expenses!$C$4:$C$500,$A14,Expenses!$H$4:$H$500,"Paid")</f>
        <v>0</v>
      </c>
      <c r="P14" s="1">
        <f t="shared" si="1"/>
        <v>45000</v>
      </c>
      <c r="Q14" s="1">
        <f t="shared" si="2"/>
        <v>195000</v>
      </c>
      <c r="R14" s="8">
        <f t="shared" si="3"/>
        <v>0.1875</v>
      </c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 t="s">
        <v>23</v>
      </c>
      <c r="B15" s="1">
        <v>20000</v>
      </c>
      <c r="C15" s="1">
        <f t="shared" si="0"/>
        <v>240000</v>
      </c>
      <c r="D15" s="1">
        <f>SUMIFS(Expenses!$F$4:$F$500,Expenses!$B$4:$B$500,D$3,Expenses!$C$4:$C$500,$A15,Expenses!$H$4:$H$500,"Paid")</f>
        <v>12000</v>
      </c>
      <c r="E15" s="1">
        <f>SUMIFS(Expenses!$F$4:$F$500,Expenses!$B$4:$B$500,E$3,Expenses!$C$4:$C$500,$A15,Expenses!$H$4:$H$500,"Paid")</f>
        <v>17000</v>
      </c>
      <c r="F15" s="1">
        <f>SUMIFS(Expenses!$F$4:$F$500,Expenses!$B$4:$B$500,F$3,Expenses!$C$4:$C$500,$A15,Expenses!$H$4:$H$500,"Paid")</f>
        <v>0</v>
      </c>
      <c r="G15" s="1">
        <f>SUMIFS(Expenses!$F$4:$F$500,Expenses!$B$4:$B$500,G$3,Expenses!$C$4:$C$500,$A15,Expenses!$H$4:$H$500,"Paid")</f>
        <v>0</v>
      </c>
      <c r="H15" s="1">
        <f>SUMIFS(Expenses!$F$4:$F$500,Expenses!$B$4:$B$500,H$3,Expenses!$C$4:$C$500,$A15,Expenses!$H$4:$H$500,"Paid")</f>
        <v>0</v>
      </c>
      <c r="I15" s="1">
        <f>SUMIFS(Expenses!$F$4:$F$500,Expenses!$B$4:$B$500,I$3,Expenses!$C$4:$C$500,$A15,Expenses!$H$4:$H$500,"Paid")</f>
        <v>0</v>
      </c>
      <c r="J15" s="1">
        <f>SUMIFS(Expenses!$F$4:$F$500,Expenses!$B$4:$B$500,J$3,Expenses!$C$4:$C$500,$A15,Expenses!$H$4:$H$500,"Paid")</f>
        <v>0</v>
      </c>
      <c r="K15" s="1">
        <f>SUMIFS(Expenses!$F$4:$F$500,Expenses!$B$4:$B$500,K$3,Expenses!$C$4:$C$500,$A15,Expenses!$H$4:$H$500,"Paid")</f>
        <v>0</v>
      </c>
      <c r="L15" s="1">
        <f>SUMIFS(Expenses!$F$4:$F$500,Expenses!$B$4:$B$500,L$3,Expenses!$C$4:$C$500,$A15,Expenses!$H$4:$H$500,"Paid")</f>
        <v>0</v>
      </c>
      <c r="M15" s="1">
        <f>SUMIFS(Expenses!$F$4:$F$500,Expenses!$B$4:$B$500,M$3,Expenses!$C$4:$C$500,$A15,Expenses!$H$4:$H$500,"Paid")</f>
        <v>0</v>
      </c>
      <c r="N15" s="1">
        <f>SUMIFS(Expenses!$F$4:$F$500,Expenses!$B$4:$B$500,N$3,Expenses!$C$4:$C$500,$A15,Expenses!$H$4:$H$500,"Paid")</f>
        <v>0</v>
      </c>
      <c r="O15" s="1">
        <f>SUMIFS(Expenses!$F$4:$F$500,Expenses!$B$4:$B$500,O$3,Expenses!$C$4:$C$500,$A15,Expenses!$H$4:$H$500,"Paid")</f>
        <v>0</v>
      </c>
      <c r="P15" s="1">
        <f t="shared" si="1"/>
        <v>29000</v>
      </c>
      <c r="Q15" s="1">
        <f t="shared" si="2"/>
        <v>211000</v>
      </c>
      <c r="R15" s="8">
        <f t="shared" si="3"/>
        <v>0.12083333333333333</v>
      </c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 t="s">
        <v>24</v>
      </c>
      <c r="B16" s="1">
        <v>15000</v>
      </c>
      <c r="C16" s="1">
        <f t="shared" si="0"/>
        <v>180000</v>
      </c>
      <c r="D16" s="1">
        <f>SUMIFS(Expenses!$F$4:$F$500,Expenses!$B$4:$B$500,D$3,Expenses!$C$4:$C$500,$A16,Expenses!$H$4:$H$500,"Paid")</f>
        <v>18000</v>
      </c>
      <c r="E16" s="1">
        <f>SUMIFS(Expenses!$F$4:$F$500,Expenses!$B$4:$B$500,E$3,Expenses!$C$4:$C$500,$A16,Expenses!$H$4:$H$500,"Paid")</f>
        <v>15000</v>
      </c>
      <c r="F16" s="1">
        <f>SUMIFS(Expenses!$F$4:$F$500,Expenses!$B$4:$B$500,F$3,Expenses!$C$4:$C$500,$A16,Expenses!$H$4:$H$500,"Paid")</f>
        <v>0</v>
      </c>
      <c r="G16" s="1">
        <f>SUMIFS(Expenses!$F$4:$F$500,Expenses!$B$4:$B$500,G$3,Expenses!$C$4:$C$500,$A16,Expenses!$H$4:$H$500,"Paid")</f>
        <v>0</v>
      </c>
      <c r="H16" s="1">
        <f>SUMIFS(Expenses!$F$4:$F$500,Expenses!$B$4:$B$500,H$3,Expenses!$C$4:$C$500,$A16,Expenses!$H$4:$H$500,"Paid")</f>
        <v>0</v>
      </c>
      <c r="I16" s="1">
        <f>SUMIFS(Expenses!$F$4:$F$500,Expenses!$B$4:$B$500,I$3,Expenses!$C$4:$C$500,$A16,Expenses!$H$4:$H$500,"Paid")</f>
        <v>0</v>
      </c>
      <c r="J16" s="1">
        <f>SUMIFS(Expenses!$F$4:$F$500,Expenses!$B$4:$B$500,J$3,Expenses!$C$4:$C$500,$A16,Expenses!$H$4:$H$500,"Paid")</f>
        <v>0</v>
      </c>
      <c r="K16" s="1">
        <f>SUMIFS(Expenses!$F$4:$F$500,Expenses!$B$4:$B$500,K$3,Expenses!$C$4:$C$500,$A16,Expenses!$H$4:$H$500,"Paid")</f>
        <v>0</v>
      </c>
      <c r="L16" s="1">
        <f>SUMIFS(Expenses!$F$4:$F$500,Expenses!$B$4:$B$500,L$3,Expenses!$C$4:$C$500,$A16,Expenses!$H$4:$H$500,"Paid")</f>
        <v>0</v>
      </c>
      <c r="M16" s="1">
        <f>SUMIFS(Expenses!$F$4:$F$500,Expenses!$B$4:$B$500,M$3,Expenses!$C$4:$C$500,$A16,Expenses!$H$4:$H$500,"Paid")</f>
        <v>0</v>
      </c>
      <c r="N16" s="1">
        <f>SUMIFS(Expenses!$F$4:$F$500,Expenses!$B$4:$B$500,N$3,Expenses!$C$4:$C$500,$A16,Expenses!$H$4:$H$500,"Paid")</f>
        <v>0</v>
      </c>
      <c r="O16" s="1">
        <f>SUMIFS(Expenses!$F$4:$F$500,Expenses!$B$4:$B$500,O$3,Expenses!$C$4:$C$500,$A16,Expenses!$H$4:$H$500,"Paid")</f>
        <v>0</v>
      </c>
      <c r="P16" s="1">
        <f t="shared" si="1"/>
        <v>33000</v>
      </c>
      <c r="Q16" s="1">
        <f t="shared" si="2"/>
        <v>147000</v>
      </c>
      <c r="R16" s="8">
        <f t="shared" si="3"/>
        <v>0.18333333333333332</v>
      </c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9" t="s">
        <v>95</v>
      </c>
      <c r="B17" s="9">
        <f t="shared" ref="B17:Q17" si="4">SUM(B4:B16)</f>
        <v>740000</v>
      </c>
      <c r="C17" s="9">
        <f t="shared" si="4"/>
        <v>8880000</v>
      </c>
      <c r="D17" s="9">
        <f t="shared" si="4"/>
        <v>640000</v>
      </c>
      <c r="E17" s="9">
        <f t="shared" si="4"/>
        <v>674000</v>
      </c>
      <c r="F17" s="9">
        <f t="shared" si="4"/>
        <v>0</v>
      </c>
      <c r="G17" s="9">
        <f t="shared" si="4"/>
        <v>0</v>
      </c>
      <c r="H17" s="9">
        <f t="shared" si="4"/>
        <v>0</v>
      </c>
      <c r="I17" s="9">
        <f t="shared" si="4"/>
        <v>0</v>
      </c>
      <c r="J17" s="9">
        <f t="shared" si="4"/>
        <v>0</v>
      </c>
      <c r="K17" s="9">
        <f t="shared" si="4"/>
        <v>0</v>
      </c>
      <c r="L17" s="9">
        <f t="shared" si="4"/>
        <v>0</v>
      </c>
      <c r="M17" s="9">
        <f t="shared" si="4"/>
        <v>0</v>
      </c>
      <c r="N17" s="9">
        <f t="shared" si="4"/>
        <v>0</v>
      </c>
      <c r="O17" s="9">
        <f t="shared" si="4"/>
        <v>0</v>
      </c>
      <c r="P17" s="9">
        <f t="shared" si="4"/>
        <v>1314000</v>
      </c>
      <c r="Q17" s="9">
        <f t="shared" si="4"/>
        <v>7566000</v>
      </c>
      <c r="R17" s="10">
        <f t="shared" si="3"/>
        <v>0.14797297297297296</v>
      </c>
      <c r="S17" s="9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S1"/>
  </mergeCells>
  <conditionalFormatting sqref="Q4:Q17">
    <cfRule type="expression" dxfId="0" priority="2">
      <formula>Q4&lt;0</formula>
    </cfRule>
  </conditionalFormatting>
  <conditionalFormatting sqref="R4:R16"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{DD604120-AC51-4BDC-A480-A0FA3F11CFC5}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604120-AC51-4BDC-A480-A0FA3F11CFC5}">
            <x14:dataBar axisPosition="none">
              <x14:cfvo type="min"/>
              <x14:cfvo type="max"/>
              <x14:negativeFillColor rgb="FF0F766E"/>
            </x14:dataBar>
          </x14:cfRule>
          <xm:sqref>R4:R16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zoomScaleNormal="100" workbookViewId="0"/>
  </sheetViews>
  <sheetFormatPr defaultColWidth="8.6640625" defaultRowHeight="13.2" x14ac:dyDescent="0.25"/>
  <cols>
    <col min="1" max="6" width="18" customWidth="1"/>
    <col min="7" max="7" width="28" customWidth="1"/>
  </cols>
  <sheetData>
    <row r="1" spans="1:26" ht="19.5" customHeight="1" x14ac:dyDescent="0.25">
      <c r="A1" s="21" t="s">
        <v>96</v>
      </c>
      <c r="B1" s="21"/>
      <c r="C1" s="21"/>
      <c r="D1" s="21"/>
      <c r="E1" s="21"/>
      <c r="F1" s="21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7" t="s">
        <v>31</v>
      </c>
      <c r="B3" s="7" t="s">
        <v>32</v>
      </c>
      <c r="C3" s="7" t="s">
        <v>97</v>
      </c>
      <c r="D3" s="7" t="s">
        <v>36</v>
      </c>
      <c r="E3" s="7" t="s">
        <v>98</v>
      </c>
      <c r="F3" s="7" t="s">
        <v>37</v>
      </c>
      <c r="G3" s="7" t="s">
        <v>38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>
        <v>46214</v>
      </c>
      <c r="B4" s="1" t="str">
        <f t="shared" ref="B4:B35" si="0">IF(A4="","",TEXT(A4,"mmm yyyy"))</f>
        <v>Jul 2026</v>
      </c>
      <c r="C4" s="1" t="s">
        <v>99</v>
      </c>
      <c r="D4" s="1">
        <v>300000</v>
      </c>
      <c r="E4" s="1" t="s">
        <v>99</v>
      </c>
      <c r="F4" s="1" t="s">
        <v>100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>
        <v>46245</v>
      </c>
      <c r="B5" s="1" t="str">
        <f t="shared" si="0"/>
        <v>Aug 2026</v>
      </c>
      <c r="C5" s="1" t="s">
        <v>99</v>
      </c>
      <c r="D5" s="1">
        <v>300000</v>
      </c>
      <c r="E5" s="1" t="s">
        <v>99</v>
      </c>
      <c r="F5" s="1" t="s">
        <v>100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>
        <v>46276</v>
      </c>
      <c r="B6" s="1" t="str">
        <f t="shared" si="0"/>
        <v>Sep 2026</v>
      </c>
      <c r="C6" s="1" t="s">
        <v>99</v>
      </c>
      <c r="D6" s="1">
        <v>300000</v>
      </c>
      <c r="E6" s="1" t="s">
        <v>99</v>
      </c>
      <c r="F6" s="1" t="s">
        <v>44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/>
      <c r="B7" s="1" t="str">
        <f t="shared" si="0"/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1" t="str">
        <f t="shared" si="0"/>
        <v/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1" t="str">
        <f t="shared" si="0"/>
        <v/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" t="str">
        <f t="shared" si="0"/>
        <v/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1" t="str">
        <f t="shared" si="0"/>
        <v/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1" t="str">
        <f t="shared" si="0"/>
        <v/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1" t="str">
        <f t="shared" si="0"/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" t="str">
        <f t="shared" si="0"/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1" t="str">
        <f t="shared" si="0"/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1" t="str">
        <f t="shared" si="0"/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1" t="str">
        <f t="shared" si="0"/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1" t="str">
        <f t="shared" si="0"/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 t="str">
        <f t="shared" si="0"/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 t="str">
        <f t="shared" si="0"/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 t="str">
        <f t="shared" si="0"/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 t="str">
        <f t="shared" si="0"/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 t="str">
        <f t="shared" si="0"/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 t="str">
        <f t="shared" si="0"/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 t="str">
        <f t="shared" si="0"/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 t="str">
        <f t="shared" si="0"/>
        <v/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 t="str">
        <f t="shared" si="0"/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 t="str">
        <f t="shared" si="0"/>
        <v/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 t="str">
        <f t="shared" si="0"/>
        <v/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 t="str">
        <f t="shared" si="0"/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 t="str">
        <f t="shared" si="0"/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 t="str">
        <f t="shared" si="0"/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 t="str">
        <f t="shared" si="0"/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 t="str">
        <f t="shared" si="0"/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 t="str">
        <f t="shared" si="0"/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 t="str">
        <f t="shared" ref="B36:B67" si="1">IF(A36="","",TEXT(A36,"mmm yyyy"))</f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 t="str">
        <f t="shared" si="1"/>
        <v/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 t="str">
        <f t="shared" si="1"/>
        <v/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 t="str">
        <f t="shared" si="1"/>
        <v/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 t="str">
        <f t="shared" si="1"/>
        <v/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 t="str">
        <f t="shared" si="1"/>
        <v/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 t="str">
        <f t="shared" si="1"/>
        <v/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 t="str">
        <f t="shared" si="1"/>
        <v/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 t="str">
        <f t="shared" si="1"/>
        <v/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 t="str">
        <f t="shared" si="1"/>
        <v/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 t="str">
        <f t="shared" si="1"/>
        <v/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 t="str">
        <f t="shared" si="1"/>
        <v/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 t="str">
        <f t="shared" si="1"/>
        <v/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 t="str">
        <f t="shared" si="1"/>
        <v/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 t="str">
        <f t="shared" si="1"/>
        <v/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 t="str">
        <f t="shared" si="1"/>
        <v/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 t="str">
        <f t="shared" si="1"/>
        <v/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 t="str">
        <f t="shared" si="1"/>
        <v/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 t="str">
        <f t="shared" si="1"/>
        <v/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 t="str">
        <f t="shared" si="1"/>
        <v/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 t="str">
        <f t="shared" si="1"/>
        <v/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 t="str">
        <f t="shared" si="1"/>
        <v/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 t="str">
        <f t="shared" si="1"/>
        <v/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 t="str">
        <f t="shared" si="1"/>
        <v/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 t="str">
        <f t="shared" si="1"/>
        <v/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25">
      <c r="B61" t="str">
        <f t="shared" si="1"/>
        <v/>
      </c>
    </row>
    <row r="62" spans="1:26" ht="15" customHeight="1" x14ac:dyDescent="0.25">
      <c r="B62" t="str">
        <f t="shared" si="1"/>
        <v/>
      </c>
    </row>
    <row r="63" spans="1:26" ht="15" customHeight="1" x14ac:dyDescent="0.25">
      <c r="B63" t="str">
        <f t="shared" si="1"/>
        <v/>
      </c>
    </row>
    <row r="64" spans="1:26" ht="15" customHeight="1" x14ac:dyDescent="0.25">
      <c r="B64" t="str">
        <f t="shared" si="1"/>
        <v/>
      </c>
    </row>
    <row r="65" spans="2:2" ht="15" customHeight="1" x14ac:dyDescent="0.25">
      <c r="B65" t="str">
        <f t="shared" si="1"/>
        <v/>
      </c>
    </row>
    <row r="66" spans="2:2" ht="15" customHeight="1" x14ac:dyDescent="0.25">
      <c r="B66" t="str">
        <f t="shared" si="1"/>
        <v/>
      </c>
    </row>
    <row r="67" spans="2:2" ht="15" customHeight="1" x14ac:dyDescent="0.25">
      <c r="B67" t="str">
        <f t="shared" si="1"/>
        <v/>
      </c>
    </row>
    <row r="68" spans="2:2" ht="15" customHeight="1" x14ac:dyDescent="0.25">
      <c r="B68" t="str">
        <f t="shared" ref="B68:B99" si="2">IF(A68="","",TEXT(A68,"mmm yyyy"))</f>
        <v/>
      </c>
    </row>
    <row r="69" spans="2:2" ht="15" customHeight="1" x14ac:dyDescent="0.25">
      <c r="B69" t="str">
        <f t="shared" si="2"/>
        <v/>
      </c>
    </row>
    <row r="70" spans="2:2" ht="15" customHeight="1" x14ac:dyDescent="0.25">
      <c r="B70" t="str">
        <f t="shared" si="2"/>
        <v/>
      </c>
    </row>
    <row r="71" spans="2:2" ht="15" customHeight="1" x14ac:dyDescent="0.25">
      <c r="B71" t="str">
        <f t="shared" si="2"/>
        <v/>
      </c>
    </row>
    <row r="72" spans="2:2" ht="15" customHeight="1" x14ac:dyDescent="0.25">
      <c r="B72" t="str">
        <f t="shared" si="2"/>
        <v/>
      </c>
    </row>
    <row r="73" spans="2:2" ht="15" customHeight="1" x14ac:dyDescent="0.25">
      <c r="B73" t="str">
        <f t="shared" si="2"/>
        <v/>
      </c>
    </row>
    <row r="74" spans="2:2" ht="15" customHeight="1" x14ac:dyDescent="0.25">
      <c r="B74" t="str">
        <f t="shared" si="2"/>
        <v/>
      </c>
    </row>
    <row r="75" spans="2:2" ht="15" customHeight="1" x14ac:dyDescent="0.25">
      <c r="B75" t="str">
        <f t="shared" si="2"/>
        <v/>
      </c>
    </row>
    <row r="76" spans="2:2" ht="15" customHeight="1" x14ac:dyDescent="0.25">
      <c r="B76" t="str">
        <f t="shared" si="2"/>
        <v/>
      </c>
    </row>
    <row r="77" spans="2:2" ht="15" customHeight="1" x14ac:dyDescent="0.25">
      <c r="B77" t="str">
        <f t="shared" si="2"/>
        <v/>
      </c>
    </row>
    <row r="78" spans="2:2" ht="15" customHeight="1" x14ac:dyDescent="0.25">
      <c r="B78" t="str">
        <f t="shared" si="2"/>
        <v/>
      </c>
    </row>
    <row r="79" spans="2:2" ht="15" customHeight="1" x14ac:dyDescent="0.25">
      <c r="B79" t="str">
        <f t="shared" si="2"/>
        <v/>
      </c>
    </row>
    <row r="80" spans="2:2" ht="15" customHeight="1" x14ac:dyDescent="0.25">
      <c r="B80" t="str">
        <f t="shared" si="2"/>
        <v/>
      </c>
    </row>
    <row r="81" spans="2:2" ht="15" customHeight="1" x14ac:dyDescent="0.25">
      <c r="B81" t="str">
        <f t="shared" si="2"/>
        <v/>
      </c>
    </row>
    <row r="82" spans="2:2" ht="15" customHeight="1" x14ac:dyDescent="0.25">
      <c r="B82" t="str">
        <f t="shared" si="2"/>
        <v/>
      </c>
    </row>
    <row r="83" spans="2:2" ht="15" customHeight="1" x14ac:dyDescent="0.25">
      <c r="B83" t="str">
        <f t="shared" si="2"/>
        <v/>
      </c>
    </row>
    <row r="84" spans="2:2" ht="15" customHeight="1" x14ac:dyDescent="0.25">
      <c r="B84" t="str">
        <f t="shared" si="2"/>
        <v/>
      </c>
    </row>
    <row r="85" spans="2:2" ht="15" customHeight="1" x14ac:dyDescent="0.25">
      <c r="B85" t="str">
        <f t="shared" si="2"/>
        <v/>
      </c>
    </row>
    <row r="86" spans="2:2" ht="15" customHeight="1" x14ac:dyDescent="0.25">
      <c r="B86" t="str">
        <f t="shared" si="2"/>
        <v/>
      </c>
    </row>
    <row r="87" spans="2:2" ht="15" customHeight="1" x14ac:dyDescent="0.25">
      <c r="B87" t="str">
        <f t="shared" si="2"/>
        <v/>
      </c>
    </row>
    <row r="88" spans="2:2" ht="15" customHeight="1" x14ac:dyDescent="0.25">
      <c r="B88" t="str">
        <f t="shared" si="2"/>
        <v/>
      </c>
    </row>
    <row r="89" spans="2:2" ht="15" customHeight="1" x14ac:dyDescent="0.25">
      <c r="B89" t="str">
        <f t="shared" si="2"/>
        <v/>
      </c>
    </row>
    <row r="90" spans="2:2" ht="15" customHeight="1" x14ac:dyDescent="0.25">
      <c r="B90" t="str">
        <f t="shared" si="2"/>
        <v/>
      </c>
    </row>
    <row r="91" spans="2:2" ht="15" customHeight="1" x14ac:dyDescent="0.25">
      <c r="B91" t="str">
        <f t="shared" si="2"/>
        <v/>
      </c>
    </row>
    <row r="92" spans="2:2" ht="15" customHeight="1" x14ac:dyDescent="0.25">
      <c r="B92" t="str">
        <f t="shared" si="2"/>
        <v/>
      </c>
    </row>
    <row r="93" spans="2:2" ht="15" customHeight="1" x14ac:dyDescent="0.25">
      <c r="B93" t="str">
        <f t="shared" si="2"/>
        <v/>
      </c>
    </row>
    <row r="94" spans="2:2" ht="15" customHeight="1" x14ac:dyDescent="0.25">
      <c r="B94" t="str">
        <f t="shared" si="2"/>
        <v/>
      </c>
    </row>
    <row r="95" spans="2:2" ht="15" customHeight="1" x14ac:dyDescent="0.25">
      <c r="B95" t="str">
        <f t="shared" si="2"/>
        <v/>
      </c>
    </row>
    <row r="96" spans="2:2" ht="15" customHeight="1" x14ac:dyDescent="0.25">
      <c r="B96" t="str">
        <f t="shared" si="2"/>
        <v/>
      </c>
    </row>
    <row r="97" spans="2:2" ht="15" customHeight="1" x14ac:dyDescent="0.25">
      <c r="B97" t="str">
        <f t="shared" si="2"/>
        <v/>
      </c>
    </row>
    <row r="98" spans="2:2" ht="15" customHeight="1" x14ac:dyDescent="0.25">
      <c r="B98" t="str">
        <f t="shared" si="2"/>
        <v/>
      </c>
    </row>
    <row r="99" spans="2:2" ht="15" customHeight="1" x14ac:dyDescent="0.25">
      <c r="B99" t="str">
        <f t="shared" si="2"/>
        <v/>
      </c>
    </row>
    <row r="100" spans="2:2" ht="15" customHeight="1" x14ac:dyDescent="0.25">
      <c r="B100" t="str">
        <f t="shared" ref="B100:B131" si="3">IF(A100="","",TEXT(A100,"mmm yyyy"))</f>
        <v/>
      </c>
    </row>
    <row r="101" spans="2:2" ht="15" customHeight="1" x14ac:dyDescent="0.25">
      <c r="B101" t="str">
        <f t="shared" si="3"/>
        <v/>
      </c>
    </row>
    <row r="102" spans="2:2" ht="15" customHeight="1" x14ac:dyDescent="0.25">
      <c r="B102" t="str">
        <f t="shared" si="3"/>
        <v/>
      </c>
    </row>
    <row r="103" spans="2:2" ht="15" customHeight="1" x14ac:dyDescent="0.25">
      <c r="B103" t="str">
        <f t="shared" si="3"/>
        <v/>
      </c>
    </row>
    <row r="104" spans="2:2" ht="15" customHeight="1" x14ac:dyDescent="0.25">
      <c r="B104" t="str">
        <f t="shared" si="3"/>
        <v/>
      </c>
    </row>
    <row r="105" spans="2:2" ht="15" customHeight="1" x14ac:dyDescent="0.25">
      <c r="B105" t="str">
        <f t="shared" si="3"/>
        <v/>
      </c>
    </row>
    <row r="106" spans="2:2" ht="15" customHeight="1" x14ac:dyDescent="0.25">
      <c r="B106" t="str">
        <f t="shared" si="3"/>
        <v/>
      </c>
    </row>
    <row r="107" spans="2:2" ht="15" customHeight="1" x14ac:dyDescent="0.25">
      <c r="B107" t="str">
        <f t="shared" si="3"/>
        <v/>
      </c>
    </row>
    <row r="108" spans="2:2" ht="15" customHeight="1" x14ac:dyDescent="0.25">
      <c r="B108" t="str">
        <f t="shared" si="3"/>
        <v/>
      </c>
    </row>
    <row r="109" spans="2:2" ht="15" customHeight="1" x14ac:dyDescent="0.25">
      <c r="B109" t="str">
        <f t="shared" si="3"/>
        <v/>
      </c>
    </row>
    <row r="110" spans="2:2" ht="15" customHeight="1" x14ac:dyDescent="0.25">
      <c r="B110" t="str">
        <f t="shared" si="3"/>
        <v/>
      </c>
    </row>
    <row r="111" spans="2:2" ht="15" customHeight="1" x14ac:dyDescent="0.25">
      <c r="B111" t="str">
        <f t="shared" si="3"/>
        <v/>
      </c>
    </row>
    <row r="112" spans="2:2" ht="15" customHeight="1" x14ac:dyDescent="0.25">
      <c r="B112" t="str">
        <f t="shared" si="3"/>
        <v/>
      </c>
    </row>
    <row r="113" spans="2:2" ht="15" customHeight="1" x14ac:dyDescent="0.25">
      <c r="B113" t="str">
        <f t="shared" si="3"/>
        <v/>
      </c>
    </row>
    <row r="114" spans="2:2" ht="15" customHeight="1" x14ac:dyDescent="0.25">
      <c r="B114" t="str">
        <f t="shared" si="3"/>
        <v/>
      </c>
    </row>
    <row r="115" spans="2:2" ht="15" customHeight="1" x14ac:dyDescent="0.25">
      <c r="B115" t="str">
        <f t="shared" si="3"/>
        <v/>
      </c>
    </row>
    <row r="116" spans="2:2" ht="15" customHeight="1" x14ac:dyDescent="0.25">
      <c r="B116" t="str">
        <f t="shared" si="3"/>
        <v/>
      </c>
    </row>
    <row r="117" spans="2:2" ht="15" customHeight="1" x14ac:dyDescent="0.25">
      <c r="B117" t="str">
        <f t="shared" si="3"/>
        <v/>
      </c>
    </row>
    <row r="118" spans="2:2" ht="15" customHeight="1" x14ac:dyDescent="0.25">
      <c r="B118" t="str">
        <f t="shared" si="3"/>
        <v/>
      </c>
    </row>
    <row r="119" spans="2:2" ht="15" customHeight="1" x14ac:dyDescent="0.25">
      <c r="B119" t="str">
        <f t="shared" si="3"/>
        <v/>
      </c>
    </row>
    <row r="120" spans="2:2" ht="15" customHeight="1" x14ac:dyDescent="0.25">
      <c r="B120" t="str">
        <f t="shared" si="3"/>
        <v/>
      </c>
    </row>
    <row r="121" spans="2:2" ht="15" customHeight="1" x14ac:dyDescent="0.25">
      <c r="B121" t="str">
        <f t="shared" si="3"/>
        <v/>
      </c>
    </row>
    <row r="122" spans="2:2" ht="15" customHeight="1" x14ac:dyDescent="0.25">
      <c r="B122" t="str">
        <f t="shared" si="3"/>
        <v/>
      </c>
    </row>
    <row r="123" spans="2:2" ht="15" customHeight="1" x14ac:dyDescent="0.25">
      <c r="B123" t="str">
        <f t="shared" si="3"/>
        <v/>
      </c>
    </row>
    <row r="124" spans="2:2" ht="15" customHeight="1" x14ac:dyDescent="0.25">
      <c r="B124" t="str">
        <f t="shared" si="3"/>
        <v/>
      </c>
    </row>
    <row r="125" spans="2:2" ht="15" customHeight="1" x14ac:dyDescent="0.25">
      <c r="B125" t="str">
        <f t="shared" si="3"/>
        <v/>
      </c>
    </row>
    <row r="126" spans="2:2" ht="15" customHeight="1" x14ac:dyDescent="0.25">
      <c r="B126" t="str">
        <f t="shared" si="3"/>
        <v/>
      </c>
    </row>
    <row r="127" spans="2:2" ht="15" customHeight="1" x14ac:dyDescent="0.25">
      <c r="B127" t="str">
        <f t="shared" si="3"/>
        <v/>
      </c>
    </row>
    <row r="128" spans="2:2" ht="15" customHeight="1" x14ac:dyDescent="0.25">
      <c r="B128" t="str">
        <f t="shared" si="3"/>
        <v/>
      </c>
    </row>
    <row r="129" spans="2:2" ht="15" customHeight="1" x14ac:dyDescent="0.25">
      <c r="B129" t="str">
        <f t="shared" si="3"/>
        <v/>
      </c>
    </row>
    <row r="130" spans="2:2" ht="15" customHeight="1" x14ac:dyDescent="0.25">
      <c r="B130" t="str">
        <f t="shared" si="3"/>
        <v/>
      </c>
    </row>
    <row r="131" spans="2:2" ht="15" customHeight="1" x14ac:dyDescent="0.25">
      <c r="B131" t="str">
        <f t="shared" si="3"/>
        <v/>
      </c>
    </row>
    <row r="132" spans="2:2" ht="15" customHeight="1" x14ac:dyDescent="0.25">
      <c r="B132" t="str">
        <f t="shared" ref="B132:B163" si="4">IF(A132="","",TEXT(A132,"mmm yyyy"))</f>
        <v/>
      </c>
    </row>
    <row r="133" spans="2:2" ht="15" customHeight="1" x14ac:dyDescent="0.25">
      <c r="B133" t="str">
        <f t="shared" si="4"/>
        <v/>
      </c>
    </row>
    <row r="134" spans="2:2" ht="15" customHeight="1" x14ac:dyDescent="0.25">
      <c r="B134" t="str">
        <f t="shared" si="4"/>
        <v/>
      </c>
    </row>
    <row r="135" spans="2:2" ht="15" customHeight="1" x14ac:dyDescent="0.25">
      <c r="B135" t="str">
        <f t="shared" si="4"/>
        <v/>
      </c>
    </row>
    <row r="136" spans="2:2" ht="15" customHeight="1" x14ac:dyDescent="0.25">
      <c r="B136" t="str">
        <f t="shared" si="4"/>
        <v/>
      </c>
    </row>
    <row r="137" spans="2:2" ht="15" customHeight="1" x14ac:dyDescent="0.25">
      <c r="B137" t="str">
        <f t="shared" si="4"/>
        <v/>
      </c>
    </row>
    <row r="138" spans="2:2" ht="15" customHeight="1" x14ac:dyDescent="0.25">
      <c r="B138" t="str">
        <f t="shared" si="4"/>
        <v/>
      </c>
    </row>
    <row r="139" spans="2:2" ht="15" customHeight="1" x14ac:dyDescent="0.25">
      <c r="B139" t="str">
        <f t="shared" si="4"/>
        <v/>
      </c>
    </row>
    <row r="140" spans="2:2" ht="15" customHeight="1" x14ac:dyDescent="0.25">
      <c r="B140" t="str">
        <f t="shared" si="4"/>
        <v/>
      </c>
    </row>
    <row r="141" spans="2:2" ht="15" customHeight="1" x14ac:dyDescent="0.25">
      <c r="B141" t="str">
        <f t="shared" si="4"/>
        <v/>
      </c>
    </row>
    <row r="142" spans="2:2" ht="15" customHeight="1" x14ac:dyDescent="0.25">
      <c r="B142" t="str">
        <f t="shared" si="4"/>
        <v/>
      </c>
    </row>
    <row r="143" spans="2:2" ht="15" customHeight="1" x14ac:dyDescent="0.25">
      <c r="B143" t="str">
        <f t="shared" si="4"/>
        <v/>
      </c>
    </row>
    <row r="144" spans="2:2" ht="15" customHeight="1" x14ac:dyDescent="0.25">
      <c r="B144" t="str">
        <f t="shared" si="4"/>
        <v/>
      </c>
    </row>
    <row r="145" spans="2:2" ht="15" customHeight="1" x14ac:dyDescent="0.25">
      <c r="B145" t="str">
        <f t="shared" si="4"/>
        <v/>
      </c>
    </row>
    <row r="146" spans="2:2" ht="15" customHeight="1" x14ac:dyDescent="0.25">
      <c r="B146" t="str">
        <f t="shared" si="4"/>
        <v/>
      </c>
    </row>
    <row r="147" spans="2:2" ht="15" customHeight="1" x14ac:dyDescent="0.25">
      <c r="B147" t="str">
        <f t="shared" si="4"/>
        <v/>
      </c>
    </row>
    <row r="148" spans="2:2" ht="15" customHeight="1" x14ac:dyDescent="0.25">
      <c r="B148" t="str">
        <f t="shared" si="4"/>
        <v/>
      </c>
    </row>
    <row r="149" spans="2:2" ht="15" customHeight="1" x14ac:dyDescent="0.25">
      <c r="B149" t="str">
        <f t="shared" si="4"/>
        <v/>
      </c>
    </row>
    <row r="150" spans="2:2" ht="15" customHeight="1" x14ac:dyDescent="0.25">
      <c r="B150" t="str">
        <f t="shared" si="4"/>
        <v/>
      </c>
    </row>
    <row r="151" spans="2:2" ht="15" customHeight="1" x14ac:dyDescent="0.25">
      <c r="B151" t="str">
        <f t="shared" si="4"/>
        <v/>
      </c>
    </row>
    <row r="152" spans="2:2" ht="15" customHeight="1" x14ac:dyDescent="0.25">
      <c r="B152" t="str">
        <f t="shared" si="4"/>
        <v/>
      </c>
    </row>
    <row r="153" spans="2:2" ht="15" customHeight="1" x14ac:dyDescent="0.25">
      <c r="B153" t="str">
        <f t="shared" si="4"/>
        <v/>
      </c>
    </row>
    <row r="154" spans="2:2" ht="15" customHeight="1" x14ac:dyDescent="0.25">
      <c r="B154" t="str">
        <f t="shared" si="4"/>
        <v/>
      </c>
    </row>
    <row r="155" spans="2:2" ht="15" customHeight="1" x14ac:dyDescent="0.25">
      <c r="B155" t="str">
        <f t="shared" si="4"/>
        <v/>
      </c>
    </row>
    <row r="156" spans="2:2" ht="15" customHeight="1" x14ac:dyDescent="0.25">
      <c r="B156" t="str">
        <f t="shared" si="4"/>
        <v/>
      </c>
    </row>
    <row r="157" spans="2:2" ht="15" customHeight="1" x14ac:dyDescent="0.25">
      <c r="B157" t="str">
        <f t="shared" si="4"/>
        <v/>
      </c>
    </row>
    <row r="158" spans="2:2" ht="15" customHeight="1" x14ac:dyDescent="0.25">
      <c r="B158" t="str">
        <f t="shared" si="4"/>
        <v/>
      </c>
    </row>
    <row r="159" spans="2:2" ht="15" customHeight="1" x14ac:dyDescent="0.25">
      <c r="B159" t="str">
        <f t="shared" si="4"/>
        <v/>
      </c>
    </row>
    <row r="160" spans="2:2" ht="15" customHeight="1" x14ac:dyDescent="0.25">
      <c r="B160" t="str">
        <f t="shared" si="4"/>
        <v/>
      </c>
    </row>
    <row r="161" spans="2:2" ht="15" customHeight="1" x14ac:dyDescent="0.25">
      <c r="B161" t="str">
        <f t="shared" si="4"/>
        <v/>
      </c>
    </row>
    <row r="162" spans="2:2" ht="15" customHeight="1" x14ac:dyDescent="0.25">
      <c r="B162" t="str">
        <f t="shared" si="4"/>
        <v/>
      </c>
    </row>
    <row r="163" spans="2:2" ht="15" customHeight="1" x14ac:dyDescent="0.25">
      <c r="B163" t="str">
        <f t="shared" si="4"/>
        <v/>
      </c>
    </row>
    <row r="164" spans="2:2" ht="15" customHeight="1" x14ac:dyDescent="0.25">
      <c r="B164" t="str">
        <f t="shared" ref="B164:B195" si="5">IF(A164="","",TEXT(A164,"mmm yyyy"))</f>
        <v/>
      </c>
    </row>
    <row r="165" spans="2:2" ht="15" customHeight="1" x14ac:dyDescent="0.25">
      <c r="B165" t="str">
        <f t="shared" si="5"/>
        <v/>
      </c>
    </row>
    <row r="166" spans="2:2" ht="15" customHeight="1" x14ac:dyDescent="0.25">
      <c r="B166" t="str">
        <f t="shared" si="5"/>
        <v/>
      </c>
    </row>
    <row r="167" spans="2:2" ht="15" customHeight="1" x14ac:dyDescent="0.25">
      <c r="B167" t="str">
        <f t="shared" si="5"/>
        <v/>
      </c>
    </row>
    <row r="168" spans="2:2" ht="15" customHeight="1" x14ac:dyDescent="0.25">
      <c r="B168" t="str">
        <f t="shared" si="5"/>
        <v/>
      </c>
    </row>
    <row r="169" spans="2:2" ht="15" customHeight="1" x14ac:dyDescent="0.25">
      <c r="B169" t="str">
        <f t="shared" si="5"/>
        <v/>
      </c>
    </row>
    <row r="170" spans="2:2" ht="15" customHeight="1" x14ac:dyDescent="0.25">
      <c r="B170" t="str">
        <f t="shared" si="5"/>
        <v/>
      </c>
    </row>
    <row r="171" spans="2:2" ht="15" customHeight="1" x14ac:dyDescent="0.25">
      <c r="B171" t="str">
        <f t="shared" si="5"/>
        <v/>
      </c>
    </row>
    <row r="172" spans="2:2" ht="15" customHeight="1" x14ac:dyDescent="0.25">
      <c r="B172" t="str">
        <f t="shared" si="5"/>
        <v/>
      </c>
    </row>
    <row r="173" spans="2:2" ht="15" customHeight="1" x14ac:dyDescent="0.25">
      <c r="B173" t="str">
        <f t="shared" si="5"/>
        <v/>
      </c>
    </row>
    <row r="174" spans="2:2" ht="15" customHeight="1" x14ac:dyDescent="0.25">
      <c r="B174" t="str">
        <f t="shared" si="5"/>
        <v/>
      </c>
    </row>
    <row r="175" spans="2:2" ht="15" customHeight="1" x14ac:dyDescent="0.25">
      <c r="B175" t="str">
        <f t="shared" si="5"/>
        <v/>
      </c>
    </row>
    <row r="176" spans="2:2" ht="15" customHeight="1" x14ac:dyDescent="0.25">
      <c r="B176" t="str">
        <f t="shared" si="5"/>
        <v/>
      </c>
    </row>
    <row r="177" spans="2:2" ht="15" customHeight="1" x14ac:dyDescent="0.25">
      <c r="B177" t="str">
        <f t="shared" si="5"/>
        <v/>
      </c>
    </row>
    <row r="178" spans="2:2" ht="15" customHeight="1" x14ac:dyDescent="0.25">
      <c r="B178" t="str">
        <f t="shared" si="5"/>
        <v/>
      </c>
    </row>
    <row r="179" spans="2:2" ht="15" customHeight="1" x14ac:dyDescent="0.25">
      <c r="B179" t="str">
        <f t="shared" si="5"/>
        <v/>
      </c>
    </row>
    <row r="180" spans="2:2" ht="15" customHeight="1" x14ac:dyDescent="0.25">
      <c r="B180" t="str">
        <f t="shared" si="5"/>
        <v/>
      </c>
    </row>
    <row r="181" spans="2:2" ht="15" customHeight="1" x14ac:dyDescent="0.25">
      <c r="B181" t="str">
        <f t="shared" si="5"/>
        <v/>
      </c>
    </row>
    <row r="182" spans="2:2" ht="15" customHeight="1" x14ac:dyDescent="0.25">
      <c r="B182" t="str">
        <f t="shared" si="5"/>
        <v/>
      </c>
    </row>
    <row r="183" spans="2:2" ht="15" customHeight="1" x14ac:dyDescent="0.25">
      <c r="B183" t="str">
        <f t="shared" si="5"/>
        <v/>
      </c>
    </row>
    <row r="184" spans="2:2" ht="15" customHeight="1" x14ac:dyDescent="0.25">
      <c r="B184" t="str">
        <f t="shared" si="5"/>
        <v/>
      </c>
    </row>
    <row r="185" spans="2:2" ht="15" customHeight="1" x14ac:dyDescent="0.25">
      <c r="B185" t="str">
        <f t="shared" si="5"/>
        <v/>
      </c>
    </row>
    <row r="186" spans="2:2" ht="15" customHeight="1" x14ac:dyDescent="0.25">
      <c r="B186" t="str">
        <f t="shared" si="5"/>
        <v/>
      </c>
    </row>
    <row r="187" spans="2:2" ht="15" customHeight="1" x14ac:dyDescent="0.25">
      <c r="B187" t="str">
        <f t="shared" si="5"/>
        <v/>
      </c>
    </row>
    <row r="188" spans="2:2" ht="15" customHeight="1" x14ac:dyDescent="0.25">
      <c r="B188" t="str">
        <f t="shared" si="5"/>
        <v/>
      </c>
    </row>
    <row r="189" spans="2:2" ht="15" customHeight="1" x14ac:dyDescent="0.25">
      <c r="B189" t="str">
        <f t="shared" si="5"/>
        <v/>
      </c>
    </row>
    <row r="190" spans="2:2" ht="15" customHeight="1" x14ac:dyDescent="0.25">
      <c r="B190" t="str">
        <f t="shared" si="5"/>
        <v/>
      </c>
    </row>
    <row r="191" spans="2:2" ht="15" customHeight="1" x14ac:dyDescent="0.25">
      <c r="B191" t="str">
        <f t="shared" si="5"/>
        <v/>
      </c>
    </row>
    <row r="192" spans="2:2" ht="15" customHeight="1" x14ac:dyDescent="0.25">
      <c r="B192" t="str">
        <f t="shared" si="5"/>
        <v/>
      </c>
    </row>
    <row r="193" spans="2:2" ht="15" customHeight="1" x14ac:dyDescent="0.25">
      <c r="B193" t="str">
        <f t="shared" si="5"/>
        <v/>
      </c>
    </row>
    <row r="194" spans="2:2" ht="15" customHeight="1" x14ac:dyDescent="0.25">
      <c r="B194" t="str">
        <f t="shared" si="5"/>
        <v/>
      </c>
    </row>
    <row r="195" spans="2:2" ht="15" customHeight="1" x14ac:dyDescent="0.25">
      <c r="B195" t="str">
        <f t="shared" si="5"/>
        <v/>
      </c>
    </row>
    <row r="196" spans="2:2" ht="15" customHeight="1" x14ac:dyDescent="0.25">
      <c r="B196" t="str">
        <f t="shared" ref="B196:B200" si="6">IF(A196="","",TEXT(A196,"mmm yyyy"))</f>
        <v/>
      </c>
    </row>
    <row r="197" spans="2:2" ht="15" customHeight="1" x14ac:dyDescent="0.25">
      <c r="B197" t="str">
        <f t="shared" si="6"/>
        <v/>
      </c>
    </row>
    <row r="198" spans="2:2" ht="15" customHeight="1" x14ac:dyDescent="0.25">
      <c r="B198" t="str">
        <f t="shared" si="6"/>
        <v/>
      </c>
    </row>
    <row r="199" spans="2:2" ht="15" customHeight="1" x14ac:dyDescent="0.25">
      <c r="B199" t="str">
        <f t="shared" si="6"/>
        <v/>
      </c>
    </row>
    <row r="200" spans="2:2" ht="15" customHeight="1" x14ac:dyDescent="0.25">
      <c r="B200" t="str">
        <f t="shared" si="6"/>
        <v/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Categories!$G$2:$G$8</xm:f>
          </x14:formula1>
          <x14:formula2>
            <xm:f>0</xm:f>
          </x14:formula2>
          <xm:sqref>F4:F200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zoomScaleNormal="100" workbookViewId="0">
      <selection sqref="A1:K1"/>
    </sheetView>
  </sheetViews>
  <sheetFormatPr defaultColWidth="8.6640625" defaultRowHeight="13.2" x14ac:dyDescent="0.25"/>
  <cols>
    <col min="1" max="10" width="18" customWidth="1"/>
    <col min="11" max="11" width="28" customWidth="1"/>
  </cols>
  <sheetData>
    <row r="1" spans="1:26" ht="19.5" customHeight="1" x14ac:dyDescent="0.25">
      <c r="A1" s="22" t="s">
        <v>101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75" customHeight="1" x14ac:dyDescent="0.25">
      <c r="A3" s="7" t="s">
        <v>102</v>
      </c>
      <c r="B3" s="7" t="s">
        <v>103</v>
      </c>
      <c r="C3" s="7" t="s">
        <v>104</v>
      </c>
      <c r="D3" s="7" t="s">
        <v>105</v>
      </c>
      <c r="E3" s="7" t="s">
        <v>106</v>
      </c>
      <c r="F3" s="7" t="s">
        <v>107</v>
      </c>
      <c r="G3" s="7" t="s">
        <v>108</v>
      </c>
      <c r="H3" s="7" t="s">
        <v>109</v>
      </c>
      <c r="I3" s="7" t="s">
        <v>37</v>
      </c>
      <c r="J3" s="7" t="s">
        <v>110</v>
      </c>
      <c r="K3" s="7" t="s">
        <v>38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 t="s">
        <v>111</v>
      </c>
      <c r="B4" s="1" t="s">
        <v>112</v>
      </c>
      <c r="C4" s="1">
        <v>500000</v>
      </c>
      <c r="D4" s="1">
        <v>0.1</v>
      </c>
      <c r="E4" s="1">
        <v>46204</v>
      </c>
      <c r="F4" s="1">
        <v>46387</v>
      </c>
      <c r="G4" s="1" t="s">
        <v>81</v>
      </c>
      <c r="H4" s="1">
        <v>50000</v>
      </c>
      <c r="I4" s="1" t="s">
        <v>56</v>
      </c>
      <c r="J4" s="1">
        <f t="shared" ref="J4:J35" si="0">IF(A4="","",MAX(0,C4*(1+D4)-SUMIFS($H$4:$H$200,$A$4:$A$200,A4,$I$4:$I$200,"Paid")))</f>
        <v>450000</v>
      </c>
      <c r="K4" s="1" t="s">
        <v>113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 t="s">
        <v>111</v>
      </c>
      <c r="B5" s="1" t="s">
        <v>112</v>
      </c>
      <c r="C5" s="1">
        <v>500000</v>
      </c>
      <c r="D5" s="1">
        <v>0.1</v>
      </c>
      <c r="E5" s="1">
        <v>46204</v>
      </c>
      <c r="F5" s="1">
        <v>46387</v>
      </c>
      <c r="G5" s="1" t="s">
        <v>2</v>
      </c>
      <c r="H5" s="1">
        <v>50000</v>
      </c>
      <c r="I5" s="1" t="s">
        <v>56</v>
      </c>
      <c r="J5" s="1">
        <f t="shared" si="0"/>
        <v>450000</v>
      </c>
      <c r="K5" s="1" t="s">
        <v>113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 t="s">
        <v>111</v>
      </c>
      <c r="B6" s="1" t="s">
        <v>112</v>
      </c>
      <c r="C6" s="1">
        <v>500000</v>
      </c>
      <c r="D6" s="1">
        <v>0.1</v>
      </c>
      <c r="E6" s="1">
        <v>46204</v>
      </c>
      <c r="F6" s="1">
        <v>46387</v>
      </c>
      <c r="G6" s="1" t="s">
        <v>82</v>
      </c>
      <c r="H6" s="1">
        <v>50000</v>
      </c>
      <c r="I6" s="1" t="s">
        <v>44</v>
      </c>
      <c r="J6" s="1">
        <f t="shared" si="0"/>
        <v>450000</v>
      </c>
      <c r="K6" s="1" t="s">
        <v>113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 t="str">
        <f t="shared" si="0"/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 t="str">
        <f t="shared" si="0"/>
        <v/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 t="str">
        <f t="shared" si="0"/>
        <v/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 t="str">
        <f t="shared" si="0"/>
        <v/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 t="str">
        <f t="shared" si="0"/>
        <v/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 t="str">
        <f t="shared" si="0"/>
        <v/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 t="str">
        <f t="shared" si="0"/>
        <v/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 t="str">
        <f t="shared" si="0"/>
        <v/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 t="str">
        <f t="shared" si="0"/>
        <v/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 t="str">
        <f t="shared" si="0"/>
        <v/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 t="str">
        <f t="shared" si="0"/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 t="str">
        <f t="shared" si="0"/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 t="str">
        <f t="shared" si="0"/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 t="str">
        <f t="shared" si="0"/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 t="str">
        <f t="shared" si="0"/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 t="str">
        <f t="shared" si="0"/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 t="str">
        <f t="shared" si="0"/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 t="str">
        <f t="shared" si="0"/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 t="str">
        <f t="shared" si="0"/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 t="str">
        <f t="shared" si="0"/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 t="str">
        <f t="shared" si="0"/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 t="str">
        <f t="shared" si="0"/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 t="str">
        <f t="shared" si="0"/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 t="str">
        <f t="shared" si="0"/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 t="str">
        <f t="shared" si="0"/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 t="str">
        <f t="shared" si="0"/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 t="str">
        <f t="shared" si="0"/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 t="str">
        <f t="shared" si="0"/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 t="str">
        <f t="shared" si="0"/>
        <v/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 t="str">
        <f t="shared" ref="J36:J67" si="1">IF(A36="","",MAX(0,C36*(1+D36)-SUMIFS($H$4:$H$200,$A$4:$A$200,A36,$I$4:$I$200,"Paid")))</f>
        <v/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 t="str">
        <f t="shared" si="1"/>
        <v/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 t="str">
        <f t="shared" si="1"/>
        <v/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 t="str">
        <f t="shared" si="1"/>
        <v/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 t="str">
        <f t="shared" si="1"/>
        <v/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 t="str">
        <f t="shared" si="1"/>
        <v/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 t="str">
        <f t="shared" si="1"/>
        <v/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 t="str">
        <f t="shared" si="1"/>
        <v/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 t="str">
        <f t="shared" si="1"/>
        <v/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 t="str">
        <f t="shared" si="1"/>
        <v/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 t="str">
        <f t="shared" si="1"/>
        <v/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 t="str">
        <f t="shared" si="1"/>
        <v/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 t="str">
        <f t="shared" si="1"/>
        <v/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 t="str">
        <f t="shared" si="1"/>
        <v/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 t="str">
        <f t="shared" si="1"/>
        <v/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 t="str">
        <f t="shared" si="1"/>
        <v/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 t="str">
        <f t="shared" si="1"/>
        <v/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 t="str">
        <f t="shared" si="1"/>
        <v/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 t="str">
        <f t="shared" si="1"/>
        <v/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 t="str">
        <f t="shared" si="1"/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 t="str">
        <f t="shared" si="1"/>
        <v/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 t="str">
        <f t="shared" si="1"/>
        <v/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 t="str">
        <f t="shared" si="1"/>
        <v/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 t="str">
        <f t="shared" si="1"/>
        <v/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 t="str">
        <f t="shared" si="1"/>
        <v/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25">
      <c r="J61" t="str">
        <f t="shared" si="1"/>
        <v/>
      </c>
    </row>
    <row r="62" spans="1:26" ht="15" customHeight="1" x14ac:dyDescent="0.25">
      <c r="J62" t="str">
        <f t="shared" si="1"/>
        <v/>
      </c>
    </row>
    <row r="63" spans="1:26" ht="15" customHeight="1" x14ac:dyDescent="0.25">
      <c r="J63" t="str">
        <f t="shared" si="1"/>
        <v/>
      </c>
    </row>
    <row r="64" spans="1:26" ht="15" customHeight="1" x14ac:dyDescent="0.25">
      <c r="J64" t="str">
        <f t="shared" si="1"/>
        <v/>
      </c>
    </row>
    <row r="65" spans="10:10" ht="15" customHeight="1" x14ac:dyDescent="0.25">
      <c r="J65" t="str">
        <f t="shared" si="1"/>
        <v/>
      </c>
    </row>
    <row r="66" spans="10:10" ht="15" customHeight="1" x14ac:dyDescent="0.25">
      <c r="J66" t="str">
        <f t="shared" si="1"/>
        <v/>
      </c>
    </row>
    <row r="67" spans="10:10" ht="15" customHeight="1" x14ac:dyDescent="0.25">
      <c r="J67" t="str">
        <f t="shared" si="1"/>
        <v/>
      </c>
    </row>
    <row r="68" spans="10:10" ht="15" customHeight="1" x14ac:dyDescent="0.25">
      <c r="J68" t="str">
        <f t="shared" ref="J68:J99" si="2">IF(A68="","",MAX(0,C68*(1+D68)-SUMIFS($H$4:$H$200,$A$4:$A$200,A68,$I$4:$I$200,"Paid")))</f>
        <v/>
      </c>
    </row>
    <row r="69" spans="10:10" ht="15" customHeight="1" x14ac:dyDescent="0.25">
      <c r="J69" t="str">
        <f t="shared" si="2"/>
        <v/>
      </c>
    </row>
    <row r="70" spans="10:10" ht="15" customHeight="1" x14ac:dyDescent="0.25">
      <c r="J70" t="str">
        <f t="shared" si="2"/>
        <v/>
      </c>
    </row>
    <row r="71" spans="10:10" ht="15" customHeight="1" x14ac:dyDescent="0.25">
      <c r="J71" t="str">
        <f t="shared" si="2"/>
        <v/>
      </c>
    </row>
    <row r="72" spans="10:10" ht="15" customHeight="1" x14ac:dyDescent="0.25">
      <c r="J72" t="str">
        <f t="shared" si="2"/>
        <v/>
      </c>
    </row>
    <row r="73" spans="10:10" ht="15" customHeight="1" x14ac:dyDescent="0.25">
      <c r="J73" t="str">
        <f t="shared" si="2"/>
        <v/>
      </c>
    </row>
    <row r="74" spans="10:10" ht="15" customHeight="1" x14ac:dyDescent="0.25">
      <c r="J74" t="str">
        <f t="shared" si="2"/>
        <v/>
      </c>
    </row>
    <row r="75" spans="10:10" ht="15" customHeight="1" x14ac:dyDescent="0.25">
      <c r="J75" t="str">
        <f t="shared" si="2"/>
        <v/>
      </c>
    </row>
    <row r="76" spans="10:10" ht="15" customHeight="1" x14ac:dyDescent="0.25">
      <c r="J76" t="str">
        <f t="shared" si="2"/>
        <v/>
      </c>
    </row>
    <row r="77" spans="10:10" ht="15" customHeight="1" x14ac:dyDescent="0.25">
      <c r="J77" t="str">
        <f t="shared" si="2"/>
        <v/>
      </c>
    </row>
    <row r="78" spans="10:10" ht="15" customHeight="1" x14ac:dyDescent="0.25">
      <c r="J78" t="str">
        <f t="shared" si="2"/>
        <v/>
      </c>
    </row>
    <row r="79" spans="10:10" ht="15" customHeight="1" x14ac:dyDescent="0.25">
      <c r="J79" t="str">
        <f t="shared" si="2"/>
        <v/>
      </c>
    </row>
    <row r="80" spans="10:10" ht="15" customHeight="1" x14ac:dyDescent="0.25">
      <c r="J80" t="str">
        <f t="shared" si="2"/>
        <v/>
      </c>
    </row>
    <row r="81" spans="10:10" ht="15" customHeight="1" x14ac:dyDescent="0.25">
      <c r="J81" t="str">
        <f t="shared" si="2"/>
        <v/>
      </c>
    </row>
    <row r="82" spans="10:10" ht="15" customHeight="1" x14ac:dyDescent="0.25">
      <c r="J82" t="str">
        <f t="shared" si="2"/>
        <v/>
      </c>
    </row>
    <row r="83" spans="10:10" ht="15" customHeight="1" x14ac:dyDescent="0.25">
      <c r="J83" t="str">
        <f t="shared" si="2"/>
        <v/>
      </c>
    </row>
    <row r="84" spans="10:10" ht="15" customHeight="1" x14ac:dyDescent="0.25">
      <c r="J84" t="str">
        <f t="shared" si="2"/>
        <v/>
      </c>
    </row>
    <row r="85" spans="10:10" ht="15" customHeight="1" x14ac:dyDescent="0.25">
      <c r="J85" t="str">
        <f t="shared" si="2"/>
        <v/>
      </c>
    </row>
    <row r="86" spans="10:10" ht="15" customHeight="1" x14ac:dyDescent="0.25">
      <c r="J86" t="str">
        <f t="shared" si="2"/>
        <v/>
      </c>
    </row>
    <row r="87" spans="10:10" ht="15" customHeight="1" x14ac:dyDescent="0.25">
      <c r="J87" t="str">
        <f t="shared" si="2"/>
        <v/>
      </c>
    </row>
    <row r="88" spans="10:10" ht="15" customHeight="1" x14ac:dyDescent="0.25">
      <c r="J88" t="str">
        <f t="shared" si="2"/>
        <v/>
      </c>
    </row>
    <row r="89" spans="10:10" ht="15" customHeight="1" x14ac:dyDescent="0.25">
      <c r="J89" t="str">
        <f t="shared" si="2"/>
        <v/>
      </c>
    </row>
    <row r="90" spans="10:10" ht="15" customHeight="1" x14ac:dyDescent="0.25">
      <c r="J90" t="str">
        <f t="shared" si="2"/>
        <v/>
      </c>
    </row>
    <row r="91" spans="10:10" ht="15" customHeight="1" x14ac:dyDescent="0.25">
      <c r="J91" t="str">
        <f t="shared" si="2"/>
        <v/>
      </c>
    </row>
    <row r="92" spans="10:10" ht="15" customHeight="1" x14ac:dyDescent="0.25">
      <c r="J92" t="str">
        <f t="shared" si="2"/>
        <v/>
      </c>
    </row>
    <row r="93" spans="10:10" ht="15" customHeight="1" x14ac:dyDescent="0.25">
      <c r="J93" t="str">
        <f t="shared" si="2"/>
        <v/>
      </c>
    </row>
    <row r="94" spans="10:10" ht="15" customHeight="1" x14ac:dyDescent="0.25">
      <c r="J94" t="str">
        <f t="shared" si="2"/>
        <v/>
      </c>
    </row>
    <row r="95" spans="10:10" ht="15" customHeight="1" x14ac:dyDescent="0.25">
      <c r="J95" t="str">
        <f t="shared" si="2"/>
        <v/>
      </c>
    </row>
    <row r="96" spans="10:10" ht="15" customHeight="1" x14ac:dyDescent="0.25">
      <c r="J96" t="str">
        <f t="shared" si="2"/>
        <v/>
      </c>
    </row>
    <row r="97" spans="10:10" ht="15" customHeight="1" x14ac:dyDescent="0.25">
      <c r="J97" t="str">
        <f t="shared" si="2"/>
        <v/>
      </c>
    </row>
    <row r="98" spans="10:10" ht="15" customHeight="1" x14ac:dyDescent="0.25">
      <c r="J98" t="str">
        <f t="shared" si="2"/>
        <v/>
      </c>
    </row>
    <row r="99" spans="10:10" ht="15" customHeight="1" x14ac:dyDescent="0.25">
      <c r="J99" t="str">
        <f t="shared" si="2"/>
        <v/>
      </c>
    </row>
    <row r="100" spans="10:10" ht="15" customHeight="1" x14ac:dyDescent="0.25">
      <c r="J100" t="str">
        <f t="shared" ref="J100:J131" si="3">IF(A100="","",MAX(0,C100*(1+D100)-SUMIFS($H$4:$H$200,$A$4:$A$200,A100,$I$4:$I$200,"Paid")))</f>
        <v/>
      </c>
    </row>
    <row r="101" spans="10:10" ht="15" customHeight="1" x14ac:dyDescent="0.25">
      <c r="J101" t="str">
        <f t="shared" si="3"/>
        <v/>
      </c>
    </row>
    <row r="102" spans="10:10" ht="15" customHeight="1" x14ac:dyDescent="0.25">
      <c r="J102" t="str">
        <f t="shared" si="3"/>
        <v/>
      </c>
    </row>
    <row r="103" spans="10:10" ht="15" customHeight="1" x14ac:dyDescent="0.25">
      <c r="J103" t="str">
        <f t="shared" si="3"/>
        <v/>
      </c>
    </row>
    <row r="104" spans="10:10" ht="15" customHeight="1" x14ac:dyDescent="0.25">
      <c r="J104" t="str">
        <f t="shared" si="3"/>
        <v/>
      </c>
    </row>
    <row r="105" spans="10:10" ht="15" customHeight="1" x14ac:dyDescent="0.25">
      <c r="J105" t="str">
        <f t="shared" si="3"/>
        <v/>
      </c>
    </row>
    <row r="106" spans="10:10" ht="15" customHeight="1" x14ac:dyDescent="0.25">
      <c r="J106" t="str">
        <f t="shared" si="3"/>
        <v/>
      </c>
    </row>
    <row r="107" spans="10:10" ht="15" customHeight="1" x14ac:dyDescent="0.25">
      <c r="J107" t="str">
        <f t="shared" si="3"/>
        <v/>
      </c>
    </row>
    <row r="108" spans="10:10" ht="15" customHeight="1" x14ac:dyDescent="0.25">
      <c r="J108" t="str">
        <f t="shared" si="3"/>
        <v/>
      </c>
    </row>
    <row r="109" spans="10:10" ht="15" customHeight="1" x14ac:dyDescent="0.25">
      <c r="J109" t="str">
        <f t="shared" si="3"/>
        <v/>
      </c>
    </row>
    <row r="110" spans="10:10" ht="15" customHeight="1" x14ac:dyDescent="0.25">
      <c r="J110" t="str">
        <f t="shared" si="3"/>
        <v/>
      </c>
    </row>
    <row r="111" spans="10:10" ht="15" customHeight="1" x14ac:dyDescent="0.25">
      <c r="J111" t="str">
        <f t="shared" si="3"/>
        <v/>
      </c>
    </row>
    <row r="112" spans="10:10" ht="15" customHeight="1" x14ac:dyDescent="0.25">
      <c r="J112" t="str">
        <f t="shared" si="3"/>
        <v/>
      </c>
    </row>
    <row r="113" spans="10:10" ht="15" customHeight="1" x14ac:dyDescent="0.25">
      <c r="J113" t="str">
        <f t="shared" si="3"/>
        <v/>
      </c>
    </row>
    <row r="114" spans="10:10" ht="15" customHeight="1" x14ac:dyDescent="0.25">
      <c r="J114" t="str">
        <f t="shared" si="3"/>
        <v/>
      </c>
    </row>
    <row r="115" spans="10:10" ht="15" customHeight="1" x14ac:dyDescent="0.25">
      <c r="J115" t="str">
        <f t="shared" si="3"/>
        <v/>
      </c>
    </row>
    <row r="116" spans="10:10" ht="15" customHeight="1" x14ac:dyDescent="0.25">
      <c r="J116" t="str">
        <f t="shared" si="3"/>
        <v/>
      </c>
    </row>
    <row r="117" spans="10:10" ht="15" customHeight="1" x14ac:dyDescent="0.25">
      <c r="J117" t="str">
        <f t="shared" si="3"/>
        <v/>
      </c>
    </row>
    <row r="118" spans="10:10" ht="15" customHeight="1" x14ac:dyDescent="0.25">
      <c r="J118" t="str">
        <f t="shared" si="3"/>
        <v/>
      </c>
    </row>
    <row r="119" spans="10:10" ht="15" customHeight="1" x14ac:dyDescent="0.25">
      <c r="J119" t="str">
        <f t="shared" si="3"/>
        <v/>
      </c>
    </row>
    <row r="120" spans="10:10" ht="15" customHeight="1" x14ac:dyDescent="0.25">
      <c r="J120" t="str">
        <f t="shared" si="3"/>
        <v/>
      </c>
    </row>
    <row r="121" spans="10:10" ht="15" customHeight="1" x14ac:dyDescent="0.25">
      <c r="J121" t="str">
        <f t="shared" si="3"/>
        <v/>
      </c>
    </row>
    <row r="122" spans="10:10" ht="15" customHeight="1" x14ac:dyDescent="0.25">
      <c r="J122" t="str">
        <f t="shared" si="3"/>
        <v/>
      </c>
    </row>
    <row r="123" spans="10:10" ht="15" customHeight="1" x14ac:dyDescent="0.25">
      <c r="J123" t="str">
        <f t="shared" si="3"/>
        <v/>
      </c>
    </row>
    <row r="124" spans="10:10" ht="15" customHeight="1" x14ac:dyDescent="0.25">
      <c r="J124" t="str">
        <f t="shared" si="3"/>
        <v/>
      </c>
    </row>
    <row r="125" spans="10:10" ht="15" customHeight="1" x14ac:dyDescent="0.25">
      <c r="J125" t="str">
        <f t="shared" si="3"/>
        <v/>
      </c>
    </row>
    <row r="126" spans="10:10" ht="15" customHeight="1" x14ac:dyDescent="0.25">
      <c r="J126" t="str">
        <f t="shared" si="3"/>
        <v/>
      </c>
    </row>
    <row r="127" spans="10:10" ht="15" customHeight="1" x14ac:dyDescent="0.25">
      <c r="J127" t="str">
        <f t="shared" si="3"/>
        <v/>
      </c>
    </row>
    <row r="128" spans="10:10" ht="15" customHeight="1" x14ac:dyDescent="0.25">
      <c r="J128" t="str">
        <f t="shared" si="3"/>
        <v/>
      </c>
    </row>
    <row r="129" spans="10:10" ht="15" customHeight="1" x14ac:dyDescent="0.25">
      <c r="J129" t="str">
        <f t="shared" si="3"/>
        <v/>
      </c>
    </row>
    <row r="130" spans="10:10" ht="15" customHeight="1" x14ac:dyDescent="0.25">
      <c r="J130" t="str">
        <f t="shared" si="3"/>
        <v/>
      </c>
    </row>
    <row r="131" spans="10:10" ht="15" customHeight="1" x14ac:dyDescent="0.25">
      <c r="J131" t="str">
        <f t="shared" si="3"/>
        <v/>
      </c>
    </row>
    <row r="132" spans="10:10" ht="15" customHeight="1" x14ac:dyDescent="0.25">
      <c r="J132" t="str">
        <f t="shared" ref="J132:J163" si="4">IF(A132="","",MAX(0,C132*(1+D132)-SUMIFS($H$4:$H$200,$A$4:$A$200,A132,$I$4:$I$200,"Paid")))</f>
        <v/>
      </c>
    </row>
    <row r="133" spans="10:10" ht="15" customHeight="1" x14ac:dyDescent="0.25">
      <c r="J133" t="str">
        <f t="shared" si="4"/>
        <v/>
      </c>
    </row>
    <row r="134" spans="10:10" ht="15" customHeight="1" x14ac:dyDescent="0.25">
      <c r="J134" t="str">
        <f t="shared" si="4"/>
        <v/>
      </c>
    </row>
    <row r="135" spans="10:10" ht="15" customHeight="1" x14ac:dyDescent="0.25">
      <c r="J135" t="str">
        <f t="shared" si="4"/>
        <v/>
      </c>
    </row>
    <row r="136" spans="10:10" ht="15" customHeight="1" x14ac:dyDescent="0.25">
      <c r="J136" t="str">
        <f t="shared" si="4"/>
        <v/>
      </c>
    </row>
    <row r="137" spans="10:10" ht="15" customHeight="1" x14ac:dyDescent="0.25">
      <c r="J137" t="str">
        <f t="shared" si="4"/>
        <v/>
      </c>
    </row>
    <row r="138" spans="10:10" ht="15" customHeight="1" x14ac:dyDescent="0.25">
      <c r="J138" t="str">
        <f t="shared" si="4"/>
        <v/>
      </c>
    </row>
    <row r="139" spans="10:10" ht="15" customHeight="1" x14ac:dyDescent="0.25">
      <c r="J139" t="str">
        <f t="shared" si="4"/>
        <v/>
      </c>
    </row>
    <row r="140" spans="10:10" ht="15" customHeight="1" x14ac:dyDescent="0.25">
      <c r="J140" t="str">
        <f t="shared" si="4"/>
        <v/>
      </c>
    </row>
    <row r="141" spans="10:10" ht="15" customHeight="1" x14ac:dyDescent="0.25">
      <c r="J141" t="str">
        <f t="shared" si="4"/>
        <v/>
      </c>
    </row>
    <row r="142" spans="10:10" ht="15" customHeight="1" x14ac:dyDescent="0.25">
      <c r="J142" t="str">
        <f t="shared" si="4"/>
        <v/>
      </c>
    </row>
    <row r="143" spans="10:10" ht="15" customHeight="1" x14ac:dyDescent="0.25">
      <c r="J143" t="str">
        <f t="shared" si="4"/>
        <v/>
      </c>
    </row>
    <row r="144" spans="10:10" ht="15" customHeight="1" x14ac:dyDescent="0.25">
      <c r="J144" t="str">
        <f t="shared" si="4"/>
        <v/>
      </c>
    </row>
    <row r="145" spans="10:10" ht="15" customHeight="1" x14ac:dyDescent="0.25">
      <c r="J145" t="str">
        <f t="shared" si="4"/>
        <v/>
      </c>
    </row>
    <row r="146" spans="10:10" ht="15" customHeight="1" x14ac:dyDescent="0.25">
      <c r="J146" t="str">
        <f t="shared" si="4"/>
        <v/>
      </c>
    </row>
    <row r="147" spans="10:10" ht="15" customHeight="1" x14ac:dyDescent="0.25">
      <c r="J147" t="str">
        <f t="shared" si="4"/>
        <v/>
      </c>
    </row>
    <row r="148" spans="10:10" ht="15" customHeight="1" x14ac:dyDescent="0.25">
      <c r="J148" t="str">
        <f t="shared" si="4"/>
        <v/>
      </c>
    </row>
    <row r="149" spans="10:10" ht="15" customHeight="1" x14ac:dyDescent="0.25">
      <c r="J149" t="str">
        <f t="shared" si="4"/>
        <v/>
      </c>
    </row>
    <row r="150" spans="10:10" ht="15" customHeight="1" x14ac:dyDescent="0.25">
      <c r="J150" t="str">
        <f t="shared" si="4"/>
        <v/>
      </c>
    </row>
    <row r="151" spans="10:10" ht="15" customHeight="1" x14ac:dyDescent="0.25">
      <c r="J151" t="str">
        <f t="shared" si="4"/>
        <v/>
      </c>
    </row>
    <row r="152" spans="10:10" ht="15" customHeight="1" x14ac:dyDescent="0.25">
      <c r="J152" t="str">
        <f t="shared" si="4"/>
        <v/>
      </c>
    </row>
    <row r="153" spans="10:10" ht="15" customHeight="1" x14ac:dyDescent="0.25">
      <c r="J153" t="str">
        <f t="shared" si="4"/>
        <v/>
      </c>
    </row>
    <row r="154" spans="10:10" ht="15" customHeight="1" x14ac:dyDescent="0.25">
      <c r="J154" t="str">
        <f t="shared" si="4"/>
        <v/>
      </c>
    </row>
    <row r="155" spans="10:10" ht="15" customHeight="1" x14ac:dyDescent="0.25">
      <c r="J155" t="str">
        <f t="shared" si="4"/>
        <v/>
      </c>
    </row>
    <row r="156" spans="10:10" ht="15" customHeight="1" x14ac:dyDescent="0.25">
      <c r="J156" t="str">
        <f t="shared" si="4"/>
        <v/>
      </c>
    </row>
    <row r="157" spans="10:10" ht="15" customHeight="1" x14ac:dyDescent="0.25">
      <c r="J157" t="str">
        <f t="shared" si="4"/>
        <v/>
      </c>
    </row>
    <row r="158" spans="10:10" ht="15" customHeight="1" x14ac:dyDescent="0.25">
      <c r="J158" t="str">
        <f t="shared" si="4"/>
        <v/>
      </c>
    </row>
    <row r="159" spans="10:10" ht="15" customHeight="1" x14ac:dyDescent="0.25">
      <c r="J159" t="str">
        <f t="shared" si="4"/>
        <v/>
      </c>
    </row>
    <row r="160" spans="10:10" ht="15" customHeight="1" x14ac:dyDescent="0.25">
      <c r="J160" t="str">
        <f t="shared" si="4"/>
        <v/>
      </c>
    </row>
    <row r="161" spans="10:10" ht="15" customHeight="1" x14ac:dyDescent="0.25">
      <c r="J161" t="str">
        <f t="shared" si="4"/>
        <v/>
      </c>
    </row>
    <row r="162" spans="10:10" ht="15" customHeight="1" x14ac:dyDescent="0.25">
      <c r="J162" t="str">
        <f t="shared" si="4"/>
        <v/>
      </c>
    </row>
    <row r="163" spans="10:10" ht="15" customHeight="1" x14ac:dyDescent="0.25">
      <c r="J163" t="str">
        <f t="shared" si="4"/>
        <v/>
      </c>
    </row>
    <row r="164" spans="10:10" ht="15" customHeight="1" x14ac:dyDescent="0.25">
      <c r="J164" t="str">
        <f t="shared" ref="J164:J200" si="5">IF(A164="","",MAX(0,C164*(1+D164)-SUMIFS($H$4:$H$200,$A$4:$A$200,A164,$I$4:$I$200,"Paid")))</f>
        <v/>
      </c>
    </row>
    <row r="165" spans="10:10" ht="15" customHeight="1" x14ac:dyDescent="0.25">
      <c r="J165" t="str">
        <f t="shared" si="5"/>
        <v/>
      </c>
    </row>
    <row r="166" spans="10:10" ht="15" customHeight="1" x14ac:dyDescent="0.25">
      <c r="J166" t="str">
        <f t="shared" si="5"/>
        <v/>
      </c>
    </row>
    <row r="167" spans="10:10" ht="15" customHeight="1" x14ac:dyDescent="0.25">
      <c r="J167" t="str">
        <f t="shared" si="5"/>
        <v/>
      </c>
    </row>
    <row r="168" spans="10:10" ht="15" customHeight="1" x14ac:dyDescent="0.25">
      <c r="J168" t="str">
        <f t="shared" si="5"/>
        <v/>
      </c>
    </row>
    <row r="169" spans="10:10" ht="15" customHeight="1" x14ac:dyDescent="0.25">
      <c r="J169" t="str">
        <f t="shared" si="5"/>
        <v/>
      </c>
    </row>
    <row r="170" spans="10:10" ht="15" customHeight="1" x14ac:dyDescent="0.25">
      <c r="J170" t="str">
        <f t="shared" si="5"/>
        <v/>
      </c>
    </row>
    <row r="171" spans="10:10" ht="15" customHeight="1" x14ac:dyDescent="0.25">
      <c r="J171" t="str">
        <f t="shared" si="5"/>
        <v/>
      </c>
    </row>
    <row r="172" spans="10:10" ht="15" customHeight="1" x14ac:dyDescent="0.25">
      <c r="J172" t="str">
        <f t="shared" si="5"/>
        <v/>
      </c>
    </row>
    <row r="173" spans="10:10" ht="15" customHeight="1" x14ac:dyDescent="0.25">
      <c r="J173" t="str">
        <f t="shared" si="5"/>
        <v/>
      </c>
    </row>
    <row r="174" spans="10:10" ht="15" customHeight="1" x14ac:dyDescent="0.25">
      <c r="J174" t="str">
        <f t="shared" si="5"/>
        <v/>
      </c>
    </row>
    <row r="175" spans="10:10" ht="15" customHeight="1" x14ac:dyDescent="0.25">
      <c r="J175" t="str">
        <f t="shared" si="5"/>
        <v/>
      </c>
    </row>
    <row r="176" spans="10:10" ht="15" customHeight="1" x14ac:dyDescent="0.25">
      <c r="J176" t="str">
        <f t="shared" si="5"/>
        <v/>
      </c>
    </row>
    <row r="177" spans="10:10" ht="15" customHeight="1" x14ac:dyDescent="0.25">
      <c r="J177" t="str">
        <f t="shared" si="5"/>
        <v/>
      </c>
    </row>
    <row r="178" spans="10:10" ht="15" customHeight="1" x14ac:dyDescent="0.25">
      <c r="J178" t="str">
        <f t="shared" si="5"/>
        <v/>
      </c>
    </row>
    <row r="179" spans="10:10" ht="15" customHeight="1" x14ac:dyDescent="0.25">
      <c r="J179" t="str">
        <f t="shared" si="5"/>
        <v/>
      </c>
    </row>
    <row r="180" spans="10:10" ht="15" customHeight="1" x14ac:dyDescent="0.25">
      <c r="J180" t="str">
        <f t="shared" si="5"/>
        <v/>
      </c>
    </row>
    <row r="181" spans="10:10" ht="15" customHeight="1" x14ac:dyDescent="0.25">
      <c r="J181" t="str">
        <f t="shared" si="5"/>
        <v/>
      </c>
    </row>
    <row r="182" spans="10:10" ht="15" customHeight="1" x14ac:dyDescent="0.25">
      <c r="J182" t="str">
        <f t="shared" si="5"/>
        <v/>
      </c>
    </row>
    <row r="183" spans="10:10" ht="15" customHeight="1" x14ac:dyDescent="0.25">
      <c r="J183" t="str">
        <f t="shared" si="5"/>
        <v/>
      </c>
    </row>
    <row r="184" spans="10:10" ht="15" customHeight="1" x14ac:dyDescent="0.25">
      <c r="J184" t="str">
        <f t="shared" si="5"/>
        <v/>
      </c>
    </row>
    <row r="185" spans="10:10" ht="15" customHeight="1" x14ac:dyDescent="0.25">
      <c r="J185" t="str">
        <f t="shared" si="5"/>
        <v/>
      </c>
    </row>
    <row r="186" spans="10:10" ht="15" customHeight="1" x14ac:dyDescent="0.25">
      <c r="J186" t="str">
        <f t="shared" si="5"/>
        <v/>
      </c>
    </row>
    <row r="187" spans="10:10" ht="15" customHeight="1" x14ac:dyDescent="0.25">
      <c r="J187" t="str">
        <f t="shared" si="5"/>
        <v/>
      </c>
    </row>
    <row r="188" spans="10:10" ht="15" customHeight="1" x14ac:dyDescent="0.25">
      <c r="J188" t="str">
        <f t="shared" si="5"/>
        <v/>
      </c>
    </row>
    <row r="189" spans="10:10" ht="15" customHeight="1" x14ac:dyDescent="0.25">
      <c r="J189" t="str">
        <f t="shared" si="5"/>
        <v/>
      </c>
    </row>
    <row r="190" spans="10:10" ht="15" customHeight="1" x14ac:dyDescent="0.25">
      <c r="J190" t="str">
        <f t="shared" si="5"/>
        <v/>
      </c>
    </row>
    <row r="191" spans="10:10" ht="15" customHeight="1" x14ac:dyDescent="0.25">
      <c r="J191" t="str">
        <f t="shared" si="5"/>
        <v/>
      </c>
    </row>
    <row r="192" spans="10:10" ht="15" customHeight="1" x14ac:dyDescent="0.25">
      <c r="J192" t="str">
        <f t="shared" si="5"/>
        <v/>
      </c>
    </row>
    <row r="193" spans="10:10" ht="15" customHeight="1" x14ac:dyDescent="0.25">
      <c r="J193" t="str">
        <f t="shared" si="5"/>
        <v/>
      </c>
    </row>
    <row r="194" spans="10:10" ht="15" customHeight="1" x14ac:dyDescent="0.25">
      <c r="J194" t="str">
        <f t="shared" si="5"/>
        <v/>
      </c>
    </row>
    <row r="195" spans="10:10" ht="15" customHeight="1" x14ac:dyDescent="0.25">
      <c r="J195" t="str">
        <f t="shared" si="5"/>
        <v/>
      </c>
    </row>
    <row r="196" spans="10:10" ht="15" customHeight="1" x14ac:dyDescent="0.25">
      <c r="J196" t="str">
        <f t="shared" si="5"/>
        <v/>
      </c>
    </row>
    <row r="197" spans="10:10" ht="15" customHeight="1" x14ac:dyDescent="0.25">
      <c r="J197" t="str">
        <f t="shared" si="5"/>
        <v/>
      </c>
    </row>
    <row r="198" spans="10:10" ht="15" customHeight="1" x14ac:dyDescent="0.25">
      <c r="J198" t="str">
        <f t="shared" si="5"/>
        <v/>
      </c>
    </row>
    <row r="199" spans="10:10" ht="15" customHeight="1" x14ac:dyDescent="0.25">
      <c r="J199" t="str">
        <f t="shared" si="5"/>
        <v/>
      </c>
    </row>
    <row r="200" spans="10:10" ht="15" customHeight="1" x14ac:dyDescent="0.25">
      <c r="J200" t="str">
        <f t="shared" si="5"/>
        <v/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Categories!$G$2:$G$8</xm:f>
          </x14:formula1>
          <x14:formula2>
            <xm:f>0</xm:f>
          </x14:formula2>
          <xm:sqref>I4:I200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zoomScaleNormal="100" workbookViewId="0"/>
  </sheetViews>
  <sheetFormatPr defaultColWidth="8.6640625" defaultRowHeight="13.2" x14ac:dyDescent="0.25"/>
  <cols>
    <col min="1" max="7" width="19" customWidth="1"/>
    <col min="8" max="8" width="32" customWidth="1"/>
  </cols>
  <sheetData>
    <row r="1" spans="1:26" ht="19.5" customHeight="1" x14ac:dyDescent="0.25">
      <c r="A1" s="22" t="s">
        <v>114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7" t="s">
        <v>26</v>
      </c>
      <c r="B3" s="7" t="s">
        <v>115</v>
      </c>
      <c r="C3" s="7" t="s">
        <v>116</v>
      </c>
      <c r="D3" s="7" t="s">
        <v>29</v>
      </c>
      <c r="E3" s="7" t="s">
        <v>117</v>
      </c>
      <c r="F3" s="7" t="s">
        <v>118</v>
      </c>
      <c r="G3" s="7" t="s">
        <v>37</v>
      </c>
      <c r="H3" s="7" t="s">
        <v>38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 t="s">
        <v>99</v>
      </c>
      <c r="B4" s="1">
        <v>4440000</v>
      </c>
      <c r="C4" s="1">
        <f>SUMIFS(Savings!$D$4:$D$200,Savings!$E$4:$E$200,A4,Savings!$F$4:$F$200,"Completed")</f>
        <v>600000</v>
      </c>
      <c r="D4" s="1">
        <f t="shared" ref="D4:D35" si="0">IF(A4="","",MAX(0,B4-C4))</f>
        <v>3840000</v>
      </c>
      <c r="E4" s="1">
        <v>46568</v>
      </c>
      <c r="F4" s="1">
        <f t="shared" ref="F4:F35" ca="1" si="1">IF(A4="","",IFERROR(D4/MAX(1,DATEDIF(TODAY(),E4,"m")),D4))</f>
        <v>384000</v>
      </c>
      <c r="G4" s="1" t="s">
        <v>119</v>
      </c>
      <c r="H4" s="1" t="s">
        <v>120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 t="s">
        <v>121</v>
      </c>
      <c r="B5" s="1">
        <v>700000</v>
      </c>
      <c r="C5" s="1">
        <f>0</f>
        <v>0</v>
      </c>
      <c r="D5" s="1">
        <f t="shared" si="0"/>
        <v>700000</v>
      </c>
      <c r="E5" s="1">
        <v>46387</v>
      </c>
      <c r="F5" s="1">
        <f t="shared" ca="1" si="1"/>
        <v>175000</v>
      </c>
      <c r="G5" s="1" t="s">
        <v>122</v>
      </c>
      <c r="H5" s="1" t="s">
        <v>123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 t="s">
        <v>124</v>
      </c>
      <c r="B6" s="1">
        <v>300000</v>
      </c>
      <c r="C6" s="1">
        <f>0</f>
        <v>0</v>
      </c>
      <c r="D6" s="1">
        <f t="shared" si="0"/>
        <v>300000</v>
      </c>
      <c r="E6" s="1">
        <v>46477</v>
      </c>
      <c r="F6" s="1">
        <f t="shared" ca="1" si="1"/>
        <v>42857.142857142855</v>
      </c>
      <c r="G6" s="1" t="s">
        <v>122</v>
      </c>
      <c r="H6" s="1" t="s">
        <v>125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/>
      <c r="B7" s="1"/>
      <c r="C7" s="1"/>
      <c r="D7" s="1" t="str">
        <f t="shared" si="0"/>
        <v/>
      </c>
      <c r="E7" s="1"/>
      <c r="F7" s="1" t="str">
        <f t="shared" ca="1" si="1"/>
        <v/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1"/>
      <c r="C8" s="1"/>
      <c r="D8" s="1" t="str">
        <f t="shared" si="0"/>
        <v/>
      </c>
      <c r="E8" s="1"/>
      <c r="F8" s="1" t="str">
        <f t="shared" ca="1" si="1"/>
        <v/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1"/>
      <c r="C9" s="1"/>
      <c r="D9" s="1" t="str">
        <f t="shared" si="0"/>
        <v/>
      </c>
      <c r="E9" s="1"/>
      <c r="F9" s="1" t="str">
        <f t="shared" ca="1" si="1"/>
        <v/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"/>
      <c r="C10" s="1"/>
      <c r="D10" s="1" t="str">
        <f t="shared" si="0"/>
        <v/>
      </c>
      <c r="E10" s="1"/>
      <c r="F10" s="1" t="str">
        <f t="shared" ca="1" si="1"/>
        <v/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1"/>
      <c r="C11" s="1"/>
      <c r="D11" s="1" t="str">
        <f t="shared" si="0"/>
        <v/>
      </c>
      <c r="E11" s="1"/>
      <c r="F11" s="1" t="str">
        <f t="shared" ca="1" si="1"/>
        <v/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1"/>
      <c r="C12" s="1"/>
      <c r="D12" s="1" t="str">
        <f t="shared" si="0"/>
        <v/>
      </c>
      <c r="E12" s="1"/>
      <c r="F12" s="1" t="str">
        <f t="shared" ca="1" si="1"/>
        <v/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1"/>
      <c r="C13" s="1"/>
      <c r="D13" s="1" t="str">
        <f t="shared" si="0"/>
        <v/>
      </c>
      <c r="E13" s="1"/>
      <c r="F13" s="1" t="str">
        <f t="shared" ca="1" si="1"/>
        <v/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"/>
      <c r="C14" s="1"/>
      <c r="D14" s="1" t="str">
        <f t="shared" si="0"/>
        <v/>
      </c>
      <c r="E14" s="1"/>
      <c r="F14" s="1" t="str">
        <f t="shared" ca="1" si="1"/>
        <v/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1"/>
      <c r="C15" s="1"/>
      <c r="D15" s="1" t="str">
        <f t="shared" si="0"/>
        <v/>
      </c>
      <c r="E15" s="1"/>
      <c r="F15" s="1" t="str">
        <f t="shared" ca="1" si="1"/>
        <v/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1"/>
      <c r="C16" s="1"/>
      <c r="D16" s="1" t="str">
        <f t="shared" si="0"/>
        <v/>
      </c>
      <c r="E16" s="1"/>
      <c r="F16" s="1" t="str">
        <f t="shared" ca="1" si="1"/>
        <v/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1"/>
      <c r="C17" s="1"/>
      <c r="D17" s="1" t="str">
        <f t="shared" si="0"/>
        <v/>
      </c>
      <c r="E17" s="1"/>
      <c r="F17" s="1" t="str">
        <f t="shared" ca="1" si="1"/>
        <v/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1"/>
      <c r="C18" s="1"/>
      <c r="D18" s="1" t="str">
        <f t="shared" si="0"/>
        <v/>
      </c>
      <c r="E18" s="1"/>
      <c r="F18" s="1" t="str">
        <f t="shared" ca="1" si="1"/>
        <v/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/>
      <c r="C19" s="1"/>
      <c r="D19" s="1" t="str">
        <f t="shared" si="0"/>
        <v/>
      </c>
      <c r="E19" s="1"/>
      <c r="F19" s="1" t="str">
        <f t="shared" ca="1" si="1"/>
        <v/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/>
      <c r="C20" s="1"/>
      <c r="D20" s="1" t="str">
        <f t="shared" si="0"/>
        <v/>
      </c>
      <c r="E20" s="1"/>
      <c r="F20" s="1" t="str">
        <f t="shared" ca="1" si="1"/>
        <v/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/>
      <c r="C21" s="1"/>
      <c r="D21" s="1" t="str">
        <f t="shared" si="0"/>
        <v/>
      </c>
      <c r="E21" s="1"/>
      <c r="F21" s="1" t="str">
        <f t="shared" ca="1" si="1"/>
        <v/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/>
      <c r="C22" s="1"/>
      <c r="D22" s="1" t="str">
        <f t="shared" si="0"/>
        <v/>
      </c>
      <c r="E22" s="1"/>
      <c r="F22" s="1" t="str">
        <f t="shared" ca="1" si="1"/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/>
      <c r="C23" s="1"/>
      <c r="D23" s="1" t="str">
        <f t="shared" si="0"/>
        <v/>
      </c>
      <c r="E23" s="1"/>
      <c r="F23" s="1" t="str">
        <f t="shared" ca="1" si="1"/>
        <v/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/>
      <c r="C24" s="1"/>
      <c r="D24" s="1" t="str">
        <f t="shared" si="0"/>
        <v/>
      </c>
      <c r="E24" s="1"/>
      <c r="F24" s="1" t="str">
        <f t="shared" ca="1" si="1"/>
        <v/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/>
      <c r="C25" s="1"/>
      <c r="D25" s="1" t="str">
        <f t="shared" si="0"/>
        <v/>
      </c>
      <c r="E25" s="1"/>
      <c r="F25" s="1" t="str">
        <f t="shared" ca="1" si="1"/>
        <v/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/>
      <c r="C26" s="1"/>
      <c r="D26" s="1" t="str">
        <f t="shared" si="0"/>
        <v/>
      </c>
      <c r="E26" s="1"/>
      <c r="F26" s="1" t="str">
        <f t="shared" ca="1" si="1"/>
        <v/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/>
      <c r="C27" s="1"/>
      <c r="D27" s="1" t="str">
        <f t="shared" si="0"/>
        <v/>
      </c>
      <c r="E27" s="1"/>
      <c r="F27" s="1" t="str">
        <f t="shared" ca="1" si="1"/>
        <v/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/>
      <c r="C28" s="1"/>
      <c r="D28" s="1" t="str">
        <f t="shared" si="0"/>
        <v/>
      </c>
      <c r="E28" s="1"/>
      <c r="F28" s="1" t="str">
        <f t="shared" ca="1" si="1"/>
        <v/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/>
      <c r="C29" s="1"/>
      <c r="D29" s="1" t="str">
        <f t="shared" si="0"/>
        <v/>
      </c>
      <c r="E29" s="1"/>
      <c r="F29" s="1" t="str">
        <f t="shared" ca="1" si="1"/>
        <v/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/>
      <c r="C30" s="1"/>
      <c r="D30" s="1" t="str">
        <f t="shared" si="0"/>
        <v/>
      </c>
      <c r="E30" s="1"/>
      <c r="F30" s="1" t="str">
        <f t="shared" ca="1" si="1"/>
        <v/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 t="str">
        <f t="shared" si="0"/>
        <v/>
      </c>
      <c r="E31" s="1"/>
      <c r="F31" s="1" t="str">
        <f t="shared" ca="1" si="1"/>
        <v/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 t="str">
        <f t="shared" si="0"/>
        <v/>
      </c>
      <c r="E32" s="1"/>
      <c r="F32" s="1" t="str">
        <f t="shared" ca="1" si="1"/>
        <v/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 t="str">
        <f t="shared" si="0"/>
        <v/>
      </c>
      <c r="E33" s="1"/>
      <c r="F33" s="1" t="str">
        <f t="shared" ca="1" si="1"/>
        <v/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/>
      <c r="C34" s="1"/>
      <c r="D34" s="1" t="str">
        <f t="shared" si="0"/>
        <v/>
      </c>
      <c r="E34" s="1"/>
      <c r="F34" s="1" t="str">
        <f t="shared" ca="1" si="1"/>
        <v/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/>
      <c r="C35" s="1"/>
      <c r="D35" s="1" t="str">
        <f t="shared" si="0"/>
        <v/>
      </c>
      <c r="E35" s="1"/>
      <c r="F35" s="1" t="str">
        <f t="shared" ca="1" si="1"/>
        <v/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/>
      <c r="C36" s="1"/>
      <c r="D36" s="1" t="str">
        <f t="shared" ref="D36:D67" si="2">IF(A36="","",MAX(0,B36-C36))</f>
        <v/>
      </c>
      <c r="E36" s="1"/>
      <c r="F36" s="1" t="str">
        <f t="shared" ref="F36:F67" ca="1" si="3">IF(A36="","",IFERROR(D36/MAX(1,DATEDIF(TODAY(),E36,"m")),D36))</f>
        <v/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/>
      <c r="C37" s="1"/>
      <c r="D37" s="1" t="str">
        <f t="shared" si="2"/>
        <v/>
      </c>
      <c r="E37" s="1"/>
      <c r="F37" s="1" t="str">
        <f t="shared" ca="1" si="3"/>
        <v/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 t="str">
        <f t="shared" si="2"/>
        <v/>
      </c>
      <c r="E38" s="1"/>
      <c r="F38" s="1" t="str">
        <f t="shared" ca="1" si="3"/>
        <v/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 t="str">
        <f t="shared" si="2"/>
        <v/>
      </c>
      <c r="E39" s="1"/>
      <c r="F39" s="1" t="str">
        <f t="shared" ca="1" si="3"/>
        <v/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 t="str">
        <f t="shared" si="2"/>
        <v/>
      </c>
      <c r="E40" s="1"/>
      <c r="F40" s="1" t="str">
        <f t="shared" ca="1" si="3"/>
        <v/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 t="str">
        <f t="shared" si="2"/>
        <v/>
      </c>
      <c r="E41" s="1"/>
      <c r="F41" s="1" t="str">
        <f t="shared" ca="1" si="3"/>
        <v/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 t="str">
        <f t="shared" si="2"/>
        <v/>
      </c>
      <c r="E42" s="1"/>
      <c r="F42" s="1" t="str">
        <f t="shared" ca="1" si="3"/>
        <v/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 t="str">
        <f t="shared" si="2"/>
        <v/>
      </c>
      <c r="E43" s="1"/>
      <c r="F43" s="1" t="str">
        <f t="shared" ca="1" si="3"/>
        <v/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/>
      <c r="C44" s="1"/>
      <c r="D44" s="1" t="str">
        <f t="shared" si="2"/>
        <v/>
      </c>
      <c r="E44" s="1"/>
      <c r="F44" s="1" t="str">
        <f t="shared" ca="1" si="3"/>
        <v/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/>
      <c r="C45" s="1"/>
      <c r="D45" s="1" t="str">
        <f t="shared" si="2"/>
        <v/>
      </c>
      <c r="E45" s="1"/>
      <c r="F45" s="1" t="str">
        <f t="shared" ca="1" si="3"/>
        <v/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/>
      <c r="C46" s="1"/>
      <c r="D46" s="1" t="str">
        <f t="shared" si="2"/>
        <v/>
      </c>
      <c r="E46" s="1"/>
      <c r="F46" s="1" t="str">
        <f t="shared" ca="1" si="3"/>
        <v/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/>
      <c r="C47" s="1"/>
      <c r="D47" s="1" t="str">
        <f t="shared" si="2"/>
        <v/>
      </c>
      <c r="E47" s="1"/>
      <c r="F47" s="1" t="str">
        <f t="shared" ca="1" si="3"/>
        <v/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/>
      <c r="C48" s="1"/>
      <c r="D48" s="1" t="str">
        <f t="shared" si="2"/>
        <v/>
      </c>
      <c r="E48" s="1"/>
      <c r="F48" s="1" t="str">
        <f t="shared" ca="1" si="3"/>
        <v/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/>
      <c r="C49" s="1"/>
      <c r="D49" s="1" t="str">
        <f t="shared" si="2"/>
        <v/>
      </c>
      <c r="E49" s="1"/>
      <c r="F49" s="1" t="str">
        <f t="shared" ca="1" si="3"/>
        <v/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/>
      <c r="C50" s="1"/>
      <c r="D50" s="1" t="str">
        <f t="shared" si="2"/>
        <v/>
      </c>
      <c r="E50" s="1"/>
      <c r="F50" s="1" t="str">
        <f t="shared" ca="1" si="3"/>
        <v/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/>
      <c r="C51" s="1"/>
      <c r="D51" s="1" t="str">
        <f t="shared" si="2"/>
        <v/>
      </c>
      <c r="E51" s="1"/>
      <c r="F51" s="1" t="str">
        <f t="shared" ca="1" si="3"/>
        <v/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/>
      <c r="C52" s="1"/>
      <c r="D52" s="1" t="str">
        <f t="shared" si="2"/>
        <v/>
      </c>
      <c r="E52" s="1"/>
      <c r="F52" s="1" t="str">
        <f t="shared" ca="1" si="3"/>
        <v/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/>
      <c r="C53" s="1"/>
      <c r="D53" s="1" t="str">
        <f t="shared" si="2"/>
        <v/>
      </c>
      <c r="E53" s="1"/>
      <c r="F53" s="1" t="str">
        <f t="shared" ca="1" si="3"/>
        <v/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/>
      <c r="C54" s="1"/>
      <c r="D54" s="1" t="str">
        <f t="shared" si="2"/>
        <v/>
      </c>
      <c r="E54" s="1"/>
      <c r="F54" s="1" t="str">
        <f t="shared" ca="1" si="3"/>
        <v/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/>
      <c r="C55" s="1"/>
      <c r="D55" s="1" t="str">
        <f t="shared" si="2"/>
        <v/>
      </c>
      <c r="E55" s="1"/>
      <c r="F55" s="1" t="str">
        <f t="shared" ca="1" si="3"/>
        <v/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/>
      <c r="C56" s="1"/>
      <c r="D56" s="1" t="str">
        <f t="shared" si="2"/>
        <v/>
      </c>
      <c r="E56" s="1"/>
      <c r="F56" s="1" t="str">
        <f t="shared" ca="1" si="3"/>
        <v/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/>
      <c r="C57" s="1"/>
      <c r="D57" s="1" t="str">
        <f t="shared" si="2"/>
        <v/>
      </c>
      <c r="E57" s="1"/>
      <c r="F57" s="1" t="str">
        <f t="shared" ca="1" si="3"/>
        <v/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/>
      <c r="C58" s="1"/>
      <c r="D58" s="1" t="str">
        <f t="shared" si="2"/>
        <v/>
      </c>
      <c r="E58" s="1"/>
      <c r="F58" s="1" t="str">
        <f t="shared" ca="1" si="3"/>
        <v/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/>
      <c r="C59" s="1"/>
      <c r="D59" s="1" t="str">
        <f t="shared" si="2"/>
        <v/>
      </c>
      <c r="E59" s="1"/>
      <c r="F59" s="1" t="str">
        <f t="shared" ca="1" si="3"/>
        <v/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/>
      <c r="C60" s="1"/>
      <c r="D60" s="1" t="str">
        <f t="shared" si="2"/>
        <v/>
      </c>
      <c r="E60" s="1"/>
      <c r="F60" s="1" t="str">
        <f t="shared" ca="1" si="3"/>
        <v/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25">
      <c r="D61" t="str">
        <f t="shared" si="2"/>
        <v/>
      </c>
      <c r="F61" t="str">
        <f t="shared" ca="1" si="3"/>
        <v/>
      </c>
    </row>
    <row r="62" spans="1:26" ht="15" customHeight="1" x14ac:dyDescent="0.25">
      <c r="D62" t="str">
        <f t="shared" si="2"/>
        <v/>
      </c>
      <c r="F62" t="str">
        <f t="shared" ca="1" si="3"/>
        <v/>
      </c>
    </row>
    <row r="63" spans="1:26" ht="15" customHeight="1" x14ac:dyDescent="0.25">
      <c r="D63" t="str">
        <f t="shared" si="2"/>
        <v/>
      </c>
      <c r="F63" t="str">
        <f t="shared" ca="1" si="3"/>
        <v/>
      </c>
    </row>
    <row r="64" spans="1:26" ht="15" customHeight="1" x14ac:dyDescent="0.25">
      <c r="D64" t="str">
        <f t="shared" si="2"/>
        <v/>
      </c>
      <c r="F64" t="str">
        <f t="shared" ca="1" si="3"/>
        <v/>
      </c>
    </row>
    <row r="65" spans="4:6" ht="15" customHeight="1" x14ac:dyDescent="0.25">
      <c r="D65" t="str">
        <f t="shared" si="2"/>
        <v/>
      </c>
      <c r="F65" t="str">
        <f t="shared" ca="1" si="3"/>
        <v/>
      </c>
    </row>
    <row r="66" spans="4:6" ht="15" customHeight="1" x14ac:dyDescent="0.25">
      <c r="D66" t="str">
        <f t="shared" si="2"/>
        <v/>
      </c>
      <c r="F66" t="str">
        <f t="shared" ca="1" si="3"/>
        <v/>
      </c>
    </row>
    <row r="67" spans="4:6" ht="15" customHeight="1" x14ac:dyDescent="0.25">
      <c r="D67" t="str">
        <f t="shared" si="2"/>
        <v/>
      </c>
      <c r="F67" t="str">
        <f t="shared" ca="1" si="3"/>
        <v/>
      </c>
    </row>
    <row r="68" spans="4:6" ht="15" customHeight="1" x14ac:dyDescent="0.25">
      <c r="D68" t="str">
        <f t="shared" ref="D68:D99" si="4">IF(A68="","",MAX(0,B68-C68))</f>
        <v/>
      </c>
      <c r="F68" t="str">
        <f t="shared" ref="F68:F99" ca="1" si="5">IF(A68="","",IFERROR(D68/MAX(1,DATEDIF(TODAY(),E68,"m")),D68))</f>
        <v/>
      </c>
    </row>
    <row r="69" spans="4:6" ht="15" customHeight="1" x14ac:dyDescent="0.25">
      <c r="D69" t="str">
        <f t="shared" si="4"/>
        <v/>
      </c>
      <c r="F69" t="str">
        <f t="shared" ca="1" si="5"/>
        <v/>
      </c>
    </row>
    <row r="70" spans="4:6" ht="15" customHeight="1" x14ac:dyDescent="0.25">
      <c r="D70" t="str">
        <f t="shared" si="4"/>
        <v/>
      </c>
      <c r="F70" t="str">
        <f t="shared" ca="1" si="5"/>
        <v/>
      </c>
    </row>
    <row r="71" spans="4:6" ht="15" customHeight="1" x14ac:dyDescent="0.25">
      <c r="D71" t="str">
        <f t="shared" si="4"/>
        <v/>
      </c>
      <c r="F71" t="str">
        <f t="shared" ca="1" si="5"/>
        <v/>
      </c>
    </row>
    <row r="72" spans="4:6" ht="15" customHeight="1" x14ac:dyDescent="0.25">
      <c r="D72" t="str">
        <f t="shared" si="4"/>
        <v/>
      </c>
      <c r="F72" t="str">
        <f t="shared" ca="1" si="5"/>
        <v/>
      </c>
    </row>
    <row r="73" spans="4:6" ht="15" customHeight="1" x14ac:dyDescent="0.25">
      <c r="D73" t="str">
        <f t="shared" si="4"/>
        <v/>
      </c>
      <c r="F73" t="str">
        <f t="shared" ca="1" si="5"/>
        <v/>
      </c>
    </row>
    <row r="74" spans="4:6" ht="15" customHeight="1" x14ac:dyDescent="0.25">
      <c r="D74" t="str">
        <f t="shared" si="4"/>
        <v/>
      </c>
      <c r="F74" t="str">
        <f t="shared" ca="1" si="5"/>
        <v/>
      </c>
    </row>
    <row r="75" spans="4:6" ht="15" customHeight="1" x14ac:dyDescent="0.25">
      <c r="D75" t="str">
        <f t="shared" si="4"/>
        <v/>
      </c>
      <c r="F75" t="str">
        <f t="shared" ca="1" si="5"/>
        <v/>
      </c>
    </row>
    <row r="76" spans="4:6" ht="15" customHeight="1" x14ac:dyDescent="0.25">
      <c r="D76" t="str">
        <f t="shared" si="4"/>
        <v/>
      </c>
      <c r="F76" t="str">
        <f t="shared" ca="1" si="5"/>
        <v/>
      </c>
    </row>
    <row r="77" spans="4:6" ht="15" customHeight="1" x14ac:dyDescent="0.25">
      <c r="D77" t="str">
        <f t="shared" si="4"/>
        <v/>
      </c>
      <c r="F77" t="str">
        <f t="shared" ca="1" si="5"/>
        <v/>
      </c>
    </row>
    <row r="78" spans="4:6" ht="15" customHeight="1" x14ac:dyDescent="0.25">
      <c r="D78" t="str">
        <f t="shared" si="4"/>
        <v/>
      </c>
      <c r="F78" t="str">
        <f t="shared" ca="1" si="5"/>
        <v/>
      </c>
    </row>
    <row r="79" spans="4:6" ht="15" customHeight="1" x14ac:dyDescent="0.25">
      <c r="D79" t="str">
        <f t="shared" si="4"/>
        <v/>
      </c>
      <c r="F79" t="str">
        <f t="shared" ca="1" si="5"/>
        <v/>
      </c>
    </row>
    <row r="80" spans="4:6" ht="15" customHeight="1" x14ac:dyDescent="0.25">
      <c r="D80" t="str">
        <f t="shared" si="4"/>
        <v/>
      </c>
      <c r="F80" t="str">
        <f t="shared" ca="1" si="5"/>
        <v/>
      </c>
    </row>
    <row r="81" spans="4:6" ht="15" customHeight="1" x14ac:dyDescent="0.25">
      <c r="D81" t="str">
        <f t="shared" si="4"/>
        <v/>
      </c>
      <c r="F81" t="str">
        <f t="shared" ca="1" si="5"/>
        <v/>
      </c>
    </row>
    <row r="82" spans="4:6" ht="15" customHeight="1" x14ac:dyDescent="0.25">
      <c r="D82" t="str">
        <f t="shared" si="4"/>
        <v/>
      </c>
      <c r="F82" t="str">
        <f t="shared" ca="1" si="5"/>
        <v/>
      </c>
    </row>
    <row r="83" spans="4:6" ht="15" customHeight="1" x14ac:dyDescent="0.25">
      <c r="D83" t="str">
        <f t="shared" si="4"/>
        <v/>
      </c>
      <c r="F83" t="str">
        <f t="shared" ca="1" si="5"/>
        <v/>
      </c>
    </row>
    <row r="84" spans="4:6" ht="15" customHeight="1" x14ac:dyDescent="0.25">
      <c r="D84" t="str">
        <f t="shared" si="4"/>
        <v/>
      </c>
      <c r="F84" t="str">
        <f t="shared" ca="1" si="5"/>
        <v/>
      </c>
    </row>
    <row r="85" spans="4:6" ht="15" customHeight="1" x14ac:dyDescent="0.25">
      <c r="D85" t="str">
        <f t="shared" si="4"/>
        <v/>
      </c>
      <c r="F85" t="str">
        <f t="shared" ca="1" si="5"/>
        <v/>
      </c>
    </row>
    <row r="86" spans="4:6" ht="15" customHeight="1" x14ac:dyDescent="0.25">
      <c r="D86" t="str">
        <f t="shared" si="4"/>
        <v/>
      </c>
      <c r="F86" t="str">
        <f t="shared" ca="1" si="5"/>
        <v/>
      </c>
    </row>
    <row r="87" spans="4:6" ht="15" customHeight="1" x14ac:dyDescent="0.25">
      <c r="D87" t="str">
        <f t="shared" si="4"/>
        <v/>
      </c>
      <c r="F87" t="str">
        <f t="shared" ca="1" si="5"/>
        <v/>
      </c>
    </row>
    <row r="88" spans="4:6" ht="15" customHeight="1" x14ac:dyDescent="0.25">
      <c r="D88" t="str">
        <f t="shared" si="4"/>
        <v/>
      </c>
      <c r="F88" t="str">
        <f t="shared" ca="1" si="5"/>
        <v/>
      </c>
    </row>
    <row r="89" spans="4:6" ht="15" customHeight="1" x14ac:dyDescent="0.25">
      <c r="D89" t="str">
        <f t="shared" si="4"/>
        <v/>
      </c>
      <c r="F89" t="str">
        <f t="shared" ca="1" si="5"/>
        <v/>
      </c>
    </row>
    <row r="90" spans="4:6" ht="15" customHeight="1" x14ac:dyDescent="0.25">
      <c r="D90" t="str">
        <f t="shared" si="4"/>
        <v/>
      </c>
      <c r="F90" t="str">
        <f t="shared" ca="1" si="5"/>
        <v/>
      </c>
    </row>
    <row r="91" spans="4:6" ht="15" customHeight="1" x14ac:dyDescent="0.25">
      <c r="D91" t="str">
        <f t="shared" si="4"/>
        <v/>
      </c>
      <c r="F91" t="str">
        <f t="shared" ca="1" si="5"/>
        <v/>
      </c>
    </row>
    <row r="92" spans="4:6" ht="15" customHeight="1" x14ac:dyDescent="0.25">
      <c r="D92" t="str">
        <f t="shared" si="4"/>
        <v/>
      </c>
      <c r="F92" t="str">
        <f t="shared" ca="1" si="5"/>
        <v/>
      </c>
    </row>
    <row r="93" spans="4:6" ht="15" customHeight="1" x14ac:dyDescent="0.25">
      <c r="D93" t="str">
        <f t="shared" si="4"/>
        <v/>
      </c>
      <c r="F93" t="str">
        <f t="shared" ca="1" si="5"/>
        <v/>
      </c>
    </row>
    <row r="94" spans="4:6" ht="15" customHeight="1" x14ac:dyDescent="0.25">
      <c r="D94" t="str">
        <f t="shared" si="4"/>
        <v/>
      </c>
      <c r="F94" t="str">
        <f t="shared" ca="1" si="5"/>
        <v/>
      </c>
    </row>
    <row r="95" spans="4:6" ht="15" customHeight="1" x14ac:dyDescent="0.25">
      <c r="D95" t="str">
        <f t="shared" si="4"/>
        <v/>
      </c>
      <c r="F95" t="str">
        <f t="shared" ca="1" si="5"/>
        <v/>
      </c>
    </row>
    <row r="96" spans="4:6" ht="15" customHeight="1" x14ac:dyDescent="0.25">
      <c r="D96" t="str">
        <f t="shared" si="4"/>
        <v/>
      </c>
      <c r="F96" t="str">
        <f t="shared" ca="1" si="5"/>
        <v/>
      </c>
    </row>
    <row r="97" spans="4:6" ht="15" customHeight="1" x14ac:dyDescent="0.25">
      <c r="D97" t="str">
        <f t="shared" si="4"/>
        <v/>
      </c>
      <c r="F97" t="str">
        <f t="shared" ca="1" si="5"/>
        <v/>
      </c>
    </row>
    <row r="98" spans="4:6" ht="15" customHeight="1" x14ac:dyDescent="0.25">
      <c r="D98" t="str">
        <f t="shared" si="4"/>
        <v/>
      </c>
      <c r="F98" t="str">
        <f t="shared" ca="1" si="5"/>
        <v/>
      </c>
    </row>
    <row r="99" spans="4:6" ht="15" customHeight="1" x14ac:dyDescent="0.25">
      <c r="D99" t="str">
        <f t="shared" si="4"/>
        <v/>
      </c>
      <c r="F99" t="str">
        <f t="shared" ca="1" si="5"/>
        <v/>
      </c>
    </row>
    <row r="100" spans="4:6" ht="15" customHeight="1" x14ac:dyDescent="0.25">
      <c r="D100" t="str">
        <f t="shared" ref="D100:D131" si="6">IF(A100="","",MAX(0,B100-C100))</f>
        <v/>
      </c>
      <c r="F100" t="str">
        <f t="shared" ref="F100:F131" ca="1" si="7">IF(A100="","",IFERROR(D100/MAX(1,DATEDIF(TODAY(),E100,"m")),D100))</f>
        <v/>
      </c>
    </row>
    <row r="101" spans="4:6" ht="15" customHeight="1" x14ac:dyDescent="0.25">
      <c r="D101" t="str">
        <f t="shared" si="6"/>
        <v/>
      </c>
      <c r="F101" t="str">
        <f t="shared" ca="1" si="7"/>
        <v/>
      </c>
    </row>
    <row r="102" spans="4:6" ht="15" customHeight="1" x14ac:dyDescent="0.25">
      <c r="D102" t="str">
        <f t="shared" si="6"/>
        <v/>
      </c>
      <c r="F102" t="str">
        <f t="shared" ca="1" si="7"/>
        <v/>
      </c>
    </row>
    <row r="103" spans="4:6" ht="15" customHeight="1" x14ac:dyDescent="0.25">
      <c r="D103" t="str">
        <f t="shared" si="6"/>
        <v/>
      </c>
      <c r="F103" t="str">
        <f t="shared" ca="1" si="7"/>
        <v/>
      </c>
    </row>
    <row r="104" spans="4:6" ht="15" customHeight="1" x14ac:dyDescent="0.25">
      <c r="D104" t="str">
        <f t="shared" si="6"/>
        <v/>
      </c>
      <c r="F104" t="str">
        <f t="shared" ca="1" si="7"/>
        <v/>
      </c>
    </row>
    <row r="105" spans="4:6" ht="15" customHeight="1" x14ac:dyDescent="0.25">
      <c r="D105" t="str">
        <f t="shared" si="6"/>
        <v/>
      </c>
      <c r="F105" t="str">
        <f t="shared" ca="1" si="7"/>
        <v/>
      </c>
    </row>
    <row r="106" spans="4:6" ht="15" customHeight="1" x14ac:dyDescent="0.25">
      <c r="D106" t="str">
        <f t="shared" si="6"/>
        <v/>
      </c>
      <c r="F106" t="str">
        <f t="shared" ca="1" si="7"/>
        <v/>
      </c>
    </row>
    <row r="107" spans="4:6" ht="15" customHeight="1" x14ac:dyDescent="0.25">
      <c r="D107" t="str">
        <f t="shared" si="6"/>
        <v/>
      </c>
      <c r="F107" t="str">
        <f t="shared" ca="1" si="7"/>
        <v/>
      </c>
    </row>
    <row r="108" spans="4:6" ht="15" customHeight="1" x14ac:dyDescent="0.25">
      <c r="D108" t="str">
        <f t="shared" si="6"/>
        <v/>
      </c>
      <c r="F108" t="str">
        <f t="shared" ca="1" si="7"/>
        <v/>
      </c>
    </row>
    <row r="109" spans="4:6" ht="15" customHeight="1" x14ac:dyDescent="0.25">
      <c r="D109" t="str">
        <f t="shared" si="6"/>
        <v/>
      </c>
      <c r="F109" t="str">
        <f t="shared" ca="1" si="7"/>
        <v/>
      </c>
    </row>
    <row r="110" spans="4:6" ht="15" customHeight="1" x14ac:dyDescent="0.25">
      <c r="D110" t="str">
        <f t="shared" si="6"/>
        <v/>
      </c>
      <c r="F110" t="str">
        <f t="shared" ca="1" si="7"/>
        <v/>
      </c>
    </row>
    <row r="111" spans="4:6" ht="15" customHeight="1" x14ac:dyDescent="0.25">
      <c r="D111" t="str">
        <f t="shared" si="6"/>
        <v/>
      </c>
      <c r="F111" t="str">
        <f t="shared" ca="1" si="7"/>
        <v/>
      </c>
    </row>
    <row r="112" spans="4:6" ht="15" customHeight="1" x14ac:dyDescent="0.25">
      <c r="D112" t="str">
        <f t="shared" si="6"/>
        <v/>
      </c>
      <c r="F112" t="str">
        <f t="shared" ca="1" si="7"/>
        <v/>
      </c>
    </row>
    <row r="113" spans="4:6" ht="15" customHeight="1" x14ac:dyDescent="0.25">
      <c r="D113" t="str">
        <f t="shared" si="6"/>
        <v/>
      </c>
      <c r="F113" t="str">
        <f t="shared" ca="1" si="7"/>
        <v/>
      </c>
    </row>
    <row r="114" spans="4:6" ht="15" customHeight="1" x14ac:dyDescent="0.25">
      <c r="D114" t="str">
        <f t="shared" si="6"/>
        <v/>
      </c>
      <c r="F114" t="str">
        <f t="shared" ca="1" si="7"/>
        <v/>
      </c>
    </row>
    <row r="115" spans="4:6" ht="15" customHeight="1" x14ac:dyDescent="0.25">
      <c r="D115" t="str">
        <f t="shared" si="6"/>
        <v/>
      </c>
      <c r="F115" t="str">
        <f t="shared" ca="1" si="7"/>
        <v/>
      </c>
    </row>
    <row r="116" spans="4:6" ht="15" customHeight="1" x14ac:dyDescent="0.25">
      <c r="D116" t="str">
        <f t="shared" si="6"/>
        <v/>
      </c>
      <c r="F116" t="str">
        <f t="shared" ca="1" si="7"/>
        <v/>
      </c>
    </row>
    <row r="117" spans="4:6" ht="15" customHeight="1" x14ac:dyDescent="0.25">
      <c r="D117" t="str">
        <f t="shared" si="6"/>
        <v/>
      </c>
      <c r="F117" t="str">
        <f t="shared" ca="1" si="7"/>
        <v/>
      </c>
    </row>
    <row r="118" spans="4:6" ht="15" customHeight="1" x14ac:dyDescent="0.25">
      <c r="D118" t="str">
        <f t="shared" si="6"/>
        <v/>
      </c>
      <c r="F118" t="str">
        <f t="shared" ca="1" si="7"/>
        <v/>
      </c>
    </row>
    <row r="119" spans="4:6" ht="15" customHeight="1" x14ac:dyDescent="0.25">
      <c r="D119" t="str">
        <f t="shared" si="6"/>
        <v/>
      </c>
      <c r="F119" t="str">
        <f t="shared" ca="1" si="7"/>
        <v/>
      </c>
    </row>
    <row r="120" spans="4:6" ht="15" customHeight="1" x14ac:dyDescent="0.25">
      <c r="D120" t="str">
        <f t="shared" si="6"/>
        <v/>
      </c>
      <c r="F120" t="str">
        <f t="shared" ca="1" si="7"/>
        <v/>
      </c>
    </row>
    <row r="121" spans="4:6" ht="15" customHeight="1" x14ac:dyDescent="0.25">
      <c r="D121" t="str">
        <f t="shared" si="6"/>
        <v/>
      </c>
      <c r="F121" t="str">
        <f t="shared" ca="1" si="7"/>
        <v/>
      </c>
    </row>
    <row r="122" spans="4:6" ht="15" customHeight="1" x14ac:dyDescent="0.25">
      <c r="D122" t="str">
        <f t="shared" si="6"/>
        <v/>
      </c>
      <c r="F122" t="str">
        <f t="shared" ca="1" si="7"/>
        <v/>
      </c>
    </row>
    <row r="123" spans="4:6" ht="15" customHeight="1" x14ac:dyDescent="0.25">
      <c r="D123" t="str">
        <f t="shared" si="6"/>
        <v/>
      </c>
      <c r="F123" t="str">
        <f t="shared" ca="1" si="7"/>
        <v/>
      </c>
    </row>
    <row r="124" spans="4:6" ht="15" customHeight="1" x14ac:dyDescent="0.25">
      <c r="D124" t="str">
        <f t="shared" si="6"/>
        <v/>
      </c>
      <c r="F124" t="str">
        <f t="shared" ca="1" si="7"/>
        <v/>
      </c>
    </row>
    <row r="125" spans="4:6" ht="15" customHeight="1" x14ac:dyDescent="0.25">
      <c r="D125" t="str">
        <f t="shared" si="6"/>
        <v/>
      </c>
      <c r="F125" t="str">
        <f t="shared" ca="1" si="7"/>
        <v/>
      </c>
    </row>
    <row r="126" spans="4:6" ht="15" customHeight="1" x14ac:dyDescent="0.25">
      <c r="D126" t="str">
        <f t="shared" si="6"/>
        <v/>
      </c>
      <c r="F126" t="str">
        <f t="shared" ca="1" si="7"/>
        <v/>
      </c>
    </row>
    <row r="127" spans="4:6" ht="15" customHeight="1" x14ac:dyDescent="0.25">
      <c r="D127" t="str">
        <f t="shared" si="6"/>
        <v/>
      </c>
      <c r="F127" t="str">
        <f t="shared" ca="1" si="7"/>
        <v/>
      </c>
    </row>
    <row r="128" spans="4:6" ht="15" customHeight="1" x14ac:dyDescent="0.25">
      <c r="D128" t="str">
        <f t="shared" si="6"/>
        <v/>
      </c>
      <c r="F128" t="str">
        <f t="shared" ca="1" si="7"/>
        <v/>
      </c>
    </row>
    <row r="129" spans="4:6" ht="15" customHeight="1" x14ac:dyDescent="0.25">
      <c r="D129" t="str">
        <f t="shared" si="6"/>
        <v/>
      </c>
      <c r="F129" t="str">
        <f t="shared" ca="1" si="7"/>
        <v/>
      </c>
    </row>
    <row r="130" spans="4:6" ht="15" customHeight="1" x14ac:dyDescent="0.25">
      <c r="D130" t="str">
        <f t="shared" si="6"/>
        <v/>
      </c>
      <c r="F130" t="str">
        <f t="shared" ca="1" si="7"/>
        <v/>
      </c>
    </row>
    <row r="131" spans="4:6" ht="15" customHeight="1" x14ac:dyDescent="0.25">
      <c r="D131" t="str">
        <f t="shared" si="6"/>
        <v/>
      </c>
      <c r="F131" t="str">
        <f t="shared" ca="1" si="7"/>
        <v/>
      </c>
    </row>
    <row r="132" spans="4:6" ht="15" customHeight="1" x14ac:dyDescent="0.25">
      <c r="D132" t="str">
        <f t="shared" ref="D132:D163" si="8">IF(A132="","",MAX(0,B132-C132))</f>
        <v/>
      </c>
      <c r="F132" t="str">
        <f t="shared" ref="F132:F163" ca="1" si="9">IF(A132="","",IFERROR(D132/MAX(1,DATEDIF(TODAY(),E132,"m")),D132))</f>
        <v/>
      </c>
    </row>
    <row r="133" spans="4:6" ht="15" customHeight="1" x14ac:dyDescent="0.25">
      <c r="D133" t="str">
        <f t="shared" si="8"/>
        <v/>
      </c>
      <c r="F133" t="str">
        <f t="shared" ca="1" si="9"/>
        <v/>
      </c>
    </row>
    <row r="134" spans="4:6" ht="15" customHeight="1" x14ac:dyDescent="0.25">
      <c r="D134" t="str">
        <f t="shared" si="8"/>
        <v/>
      </c>
      <c r="F134" t="str">
        <f t="shared" ca="1" si="9"/>
        <v/>
      </c>
    </row>
    <row r="135" spans="4:6" ht="15" customHeight="1" x14ac:dyDescent="0.25">
      <c r="D135" t="str">
        <f t="shared" si="8"/>
        <v/>
      </c>
      <c r="F135" t="str">
        <f t="shared" ca="1" si="9"/>
        <v/>
      </c>
    </row>
    <row r="136" spans="4:6" ht="15" customHeight="1" x14ac:dyDescent="0.25">
      <c r="D136" t="str">
        <f t="shared" si="8"/>
        <v/>
      </c>
      <c r="F136" t="str">
        <f t="shared" ca="1" si="9"/>
        <v/>
      </c>
    </row>
    <row r="137" spans="4:6" ht="15" customHeight="1" x14ac:dyDescent="0.25">
      <c r="D137" t="str">
        <f t="shared" si="8"/>
        <v/>
      </c>
      <c r="F137" t="str">
        <f t="shared" ca="1" si="9"/>
        <v/>
      </c>
    </row>
    <row r="138" spans="4:6" ht="15" customHeight="1" x14ac:dyDescent="0.25">
      <c r="D138" t="str">
        <f t="shared" si="8"/>
        <v/>
      </c>
      <c r="F138" t="str">
        <f t="shared" ca="1" si="9"/>
        <v/>
      </c>
    </row>
    <row r="139" spans="4:6" ht="15" customHeight="1" x14ac:dyDescent="0.25">
      <c r="D139" t="str">
        <f t="shared" si="8"/>
        <v/>
      </c>
      <c r="F139" t="str">
        <f t="shared" ca="1" si="9"/>
        <v/>
      </c>
    </row>
    <row r="140" spans="4:6" ht="15" customHeight="1" x14ac:dyDescent="0.25">
      <c r="D140" t="str">
        <f t="shared" si="8"/>
        <v/>
      </c>
      <c r="F140" t="str">
        <f t="shared" ca="1" si="9"/>
        <v/>
      </c>
    </row>
    <row r="141" spans="4:6" ht="15" customHeight="1" x14ac:dyDescent="0.25">
      <c r="D141" t="str">
        <f t="shared" si="8"/>
        <v/>
      </c>
      <c r="F141" t="str">
        <f t="shared" ca="1" si="9"/>
        <v/>
      </c>
    </row>
    <row r="142" spans="4:6" ht="15" customHeight="1" x14ac:dyDescent="0.25">
      <c r="D142" t="str">
        <f t="shared" si="8"/>
        <v/>
      </c>
      <c r="F142" t="str">
        <f t="shared" ca="1" si="9"/>
        <v/>
      </c>
    </row>
    <row r="143" spans="4:6" ht="15" customHeight="1" x14ac:dyDescent="0.25">
      <c r="D143" t="str">
        <f t="shared" si="8"/>
        <v/>
      </c>
      <c r="F143" t="str">
        <f t="shared" ca="1" si="9"/>
        <v/>
      </c>
    </row>
    <row r="144" spans="4:6" ht="15" customHeight="1" x14ac:dyDescent="0.25">
      <c r="D144" t="str">
        <f t="shared" si="8"/>
        <v/>
      </c>
      <c r="F144" t="str">
        <f t="shared" ca="1" si="9"/>
        <v/>
      </c>
    </row>
    <row r="145" spans="4:6" ht="15" customHeight="1" x14ac:dyDescent="0.25">
      <c r="D145" t="str">
        <f t="shared" si="8"/>
        <v/>
      </c>
      <c r="F145" t="str">
        <f t="shared" ca="1" si="9"/>
        <v/>
      </c>
    </row>
    <row r="146" spans="4:6" ht="15" customHeight="1" x14ac:dyDescent="0.25">
      <c r="D146" t="str">
        <f t="shared" si="8"/>
        <v/>
      </c>
      <c r="F146" t="str">
        <f t="shared" ca="1" si="9"/>
        <v/>
      </c>
    </row>
    <row r="147" spans="4:6" ht="15" customHeight="1" x14ac:dyDescent="0.25">
      <c r="D147" t="str">
        <f t="shared" si="8"/>
        <v/>
      </c>
      <c r="F147" t="str">
        <f t="shared" ca="1" si="9"/>
        <v/>
      </c>
    </row>
    <row r="148" spans="4:6" ht="15" customHeight="1" x14ac:dyDescent="0.25">
      <c r="D148" t="str">
        <f t="shared" si="8"/>
        <v/>
      </c>
      <c r="F148" t="str">
        <f t="shared" ca="1" si="9"/>
        <v/>
      </c>
    </row>
    <row r="149" spans="4:6" ht="15" customHeight="1" x14ac:dyDescent="0.25">
      <c r="D149" t="str">
        <f t="shared" si="8"/>
        <v/>
      </c>
      <c r="F149" t="str">
        <f t="shared" ca="1" si="9"/>
        <v/>
      </c>
    </row>
    <row r="150" spans="4:6" ht="15" customHeight="1" x14ac:dyDescent="0.25">
      <c r="D150" t="str">
        <f t="shared" si="8"/>
        <v/>
      </c>
      <c r="F150" t="str">
        <f t="shared" ca="1" si="9"/>
        <v/>
      </c>
    </row>
    <row r="151" spans="4:6" ht="15" customHeight="1" x14ac:dyDescent="0.25">
      <c r="D151" t="str">
        <f t="shared" si="8"/>
        <v/>
      </c>
      <c r="F151" t="str">
        <f t="shared" ca="1" si="9"/>
        <v/>
      </c>
    </row>
    <row r="152" spans="4:6" ht="15" customHeight="1" x14ac:dyDescent="0.25">
      <c r="D152" t="str">
        <f t="shared" si="8"/>
        <v/>
      </c>
      <c r="F152" t="str">
        <f t="shared" ca="1" si="9"/>
        <v/>
      </c>
    </row>
    <row r="153" spans="4:6" ht="15" customHeight="1" x14ac:dyDescent="0.25">
      <c r="D153" t="str">
        <f t="shared" si="8"/>
        <v/>
      </c>
      <c r="F153" t="str">
        <f t="shared" ca="1" si="9"/>
        <v/>
      </c>
    </row>
    <row r="154" spans="4:6" ht="15" customHeight="1" x14ac:dyDescent="0.25">
      <c r="D154" t="str">
        <f t="shared" si="8"/>
        <v/>
      </c>
      <c r="F154" t="str">
        <f t="shared" ca="1" si="9"/>
        <v/>
      </c>
    </row>
    <row r="155" spans="4:6" ht="15" customHeight="1" x14ac:dyDescent="0.25">
      <c r="D155" t="str">
        <f t="shared" si="8"/>
        <v/>
      </c>
      <c r="F155" t="str">
        <f t="shared" ca="1" si="9"/>
        <v/>
      </c>
    </row>
    <row r="156" spans="4:6" ht="15" customHeight="1" x14ac:dyDescent="0.25">
      <c r="D156" t="str">
        <f t="shared" si="8"/>
        <v/>
      </c>
      <c r="F156" t="str">
        <f t="shared" ca="1" si="9"/>
        <v/>
      </c>
    </row>
    <row r="157" spans="4:6" ht="15" customHeight="1" x14ac:dyDescent="0.25">
      <c r="D157" t="str">
        <f t="shared" si="8"/>
        <v/>
      </c>
      <c r="F157" t="str">
        <f t="shared" ca="1" si="9"/>
        <v/>
      </c>
    </row>
    <row r="158" spans="4:6" ht="15" customHeight="1" x14ac:dyDescent="0.25">
      <c r="D158" t="str">
        <f t="shared" si="8"/>
        <v/>
      </c>
      <c r="F158" t="str">
        <f t="shared" ca="1" si="9"/>
        <v/>
      </c>
    </row>
    <row r="159" spans="4:6" ht="15" customHeight="1" x14ac:dyDescent="0.25">
      <c r="D159" t="str">
        <f t="shared" si="8"/>
        <v/>
      </c>
      <c r="F159" t="str">
        <f t="shared" ca="1" si="9"/>
        <v/>
      </c>
    </row>
    <row r="160" spans="4:6" ht="15" customHeight="1" x14ac:dyDescent="0.25">
      <c r="D160" t="str">
        <f t="shared" si="8"/>
        <v/>
      </c>
      <c r="F160" t="str">
        <f t="shared" ca="1" si="9"/>
        <v/>
      </c>
    </row>
    <row r="161" spans="4:6" ht="15" customHeight="1" x14ac:dyDescent="0.25">
      <c r="D161" t="str">
        <f t="shared" si="8"/>
        <v/>
      </c>
      <c r="F161" t="str">
        <f t="shared" ca="1" si="9"/>
        <v/>
      </c>
    </row>
    <row r="162" spans="4:6" ht="15" customHeight="1" x14ac:dyDescent="0.25">
      <c r="D162" t="str">
        <f t="shared" si="8"/>
        <v/>
      </c>
      <c r="F162" t="str">
        <f t="shared" ca="1" si="9"/>
        <v/>
      </c>
    </row>
    <row r="163" spans="4:6" ht="15" customHeight="1" x14ac:dyDescent="0.25">
      <c r="D163" t="str">
        <f t="shared" si="8"/>
        <v/>
      </c>
      <c r="F163" t="str">
        <f t="shared" ca="1" si="9"/>
        <v/>
      </c>
    </row>
    <row r="164" spans="4:6" ht="15" customHeight="1" x14ac:dyDescent="0.25">
      <c r="D164" t="str">
        <f t="shared" ref="D164:D195" si="10">IF(A164="","",MAX(0,B164-C164))</f>
        <v/>
      </c>
      <c r="F164" t="str">
        <f t="shared" ref="F164:F195" ca="1" si="11">IF(A164="","",IFERROR(D164/MAX(1,DATEDIF(TODAY(),E164,"m")),D164))</f>
        <v/>
      </c>
    </row>
    <row r="165" spans="4:6" ht="15" customHeight="1" x14ac:dyDescent="0.25">
      <c r="D165" t="str">
        <f t="shared" si="10"/>
        <v/>
      </c>
      <c r="F165" t="str">
        <f t="shared" ca="1" si="11"/>
        <v/>
      </c>
    </row>
    <row r="166" spans="4:6" ht="15" customHeight="1" x14ac:dyDescent="0.25">
      <c r="D166" t="str">
        <f t="shared" si="10"/>
        <v/>
      </c>
      <c r="F166" t="str">
        <f t="shared" ca="1" si="11"/>
        <v/>
      </c>
    </row>
    <row r="167" spans="4:6" ht="15" customHeight="1" x14ac:dyDescent="0.25">
      <c r="D167" t="str">
        <f t="shared" si="10"/>
        <v/>
      </c>
      <c r="F167" t="str">
        <f t="shared" ca="1" si="11"/>
        <v/>
      </c>
    </row>
    <row r="168" spans="4:6" ht="15" customHeight="1" x14ac:dyDescent="0.25">
      <c r="D168" t="str">
        <f t="shared" si="10"/>
        <v/>
      </c>
      <c r="F168" t="str">
        <f t="shared" ca="1" si="11"/>
        <v/>
      </c>
    </row>
    <row r="169" spans="4:6" ht="15" customHeight="1" x14ac:dyDescent="0.25">
      <c r="D169" t="str">
        <f t="shared" si="10"/>
        <v/>
      </c>
      <c r="F169" t="str">
        <f t="shared" ca="1" si="11"/>
        <v/>
      </c>
    </row>
    <row r="170" spans="4:6" ht="15" customHeight="1" x14ac:dyDescent="0.25">
      <c r="D170" t="str">
        <f t="shared" si="10"/>
        <v/>
      </c>
      <c r="F170" t="str">
        <f t="shared" ca="1" si="11"/>
        <v/>
      </c>
    </row>
    <row r="171" spans="4:6" ht="15" customHeight="1" x14ac:dyDescent="0.25">
      <c r="D171" t="str">
        <f t="shared" si="10"/>
        <v/>
      </c>
      <c r="F171" t="str">
        <f t="shared" ca="1" si="11"/>
        <v/>
      </c>
    </row>
    <row r="172" spans="4:6" ht="15" customHeight="1" x14ac:dyDescent="0.25">
      <c r="D172" t="str">
        <f t="shared" si="10"/>
        <v/>
      </c>
      <c r="F172" t="str">
        <f t="shared" ca="1" si="11"/>
        <v/>
      </c>
    </row>
    <row r="173" spans="4:6" ht="15" customHeight="1" x14ac:dyDescent="0.25">
      <c r="D173" t="str">
        <f t="shared" si="10"/>
        <v/>
      </c>
      <c r="F173" t="str">
        <f t="shared" ca="1" si="11"/>
        <v/>
      </c>
    </row>
    <row r="174" spans="4:6" ht="15" customHeight="1" x14ac:dyDescent="0.25">
      <c r="D174" t="str">
        <f t="shared" si="10"/>
        <v/>
      </c>
      <c r="F174" t="str">
        <f t="shared" ca="1" si="11"/>
        <v/>
      </c>
    </row>
    <row r="175" spans="4:6" ht="15" customHeight="1" x14ac:dyDescent="0.25">
      <c r="D175" t="str">
        <f t="shared" si="10"/>
        <v/>
      </c>
      <c r="F175" t="str">
        <f t="shared" ca="1" si="11"/>
        <v/>
      </c>
    </row>
    <row r="176" spans="4:6" ht="15" customHeight="1" x14ac:dyDescent="0.25">
      <c r="D176" t="str">
        <f t="shared" si="10"/>
        <v/>
      </c>
      <c r="F176" t="str">
        <f t="shared" ca="1" si="11"/>
        <v/>
      </c>
    </row>
    <row r="177" spans="4:6" ht="15" customHeight="1" x14ac:dyDescent="0.25">
      <c r="D177" t="str">
        <f t="shared" si="10"/>
        <v/>
      </c>
      <c r="F177" t="str">
        <f t="shared" ca="1" si="11"/>
        <v/>
      </c>
    </row>
    <row r="178" spans="4:6" ht="15" customHeight="1" x14ac:dyDescent="0.25">
      <c r="D178" t="str">
        <f t="shared" si="10"/>
        <v/>
      </c>
      <c r="F178" t="str">
        <f t="shared" ca="1" si="11"/>
        <v/>
      </c>
    </row>
    <row r="179" spans="4:6" ht="15" customHeight="1" x14ac:dyDescent="0.25">
      <c r="D179" t="str">
        <f t="shared" si="10"/>
        <v/>
      </c>
      <c r="F179" t="str">
        <f t="shared" ca="1" si="11"/>
        <v/>
      </c>
    </row>
    <row r="180" spans="4:6" ht="15" customHeight="1" x14ac:dyDescent="0.25">
      <c r="D180" t="str">
        <f t="shared" si="10"/>
        <v/>
      </c>
      <c r="F180" t="str">
        <f t="shared" ca="1" si="11"/>
        <v/>
      </c>
    </row>
    <row r="181" spans="4:6" ht="15" customHeight="1" x14ac:dyDescent="0.25">
      <c r="D181" t="str">
        <f t="shared" si="10"/>
        <v/>
      </c>
      <c r="F181" t="str">
        <f t="shared" ca="1" si="11"/>
        <v/>
      </c>
    </row>
    <row r="182" spans="4:6" ht="15" customHeight="1" x14ac:dyDescent="0.25">
      <c r="D182" t="str">
        <f t="shared" si="10"/>
        <v/>
      </c>
      <c r="F182" t="str">
        <f t="shared" ca="1" si="11"/>
        <v/>
      </c>
    </row>
    <row r="183" spans="4:6" ht="15" customHeight="1" x14ac:dyDescent="0.25">
      <c r="D183" t="str">
        <f t="shared" si="10"/>
        <v/>
      </c>
      <c r="F183" t="str">
        <f t="shared" ca="1" si="11"/>
        <v/>
      </c>
    </row>
    <row r="184" spans="4:6" ht="15" customHeight="1" x14ac:dyDescent="0.25">
      <c r="D184" t="str">
        <f t="shared" si="10"/>
        <v/>
      </c>
      <c r="F184" t="str">
        <f t="shared" ca="1" si="11"/>
        <v/>
      </c>
    </row>
    <row r="185" spans="4:6" ht="15" customHeight="1" x14ac:dyDescent="0.25">
      <c r="D185" t="str">
        <f t="shared" si="10"/>
        <v/>
      </c>
      <c r="F185" t="str">
        <f t="shared" ca="1" si="11"/>
        <v/>
      </c>
    </row>
    <row r="186" spans="4:6" ht="15" customHeight="1" x14ac:dyDescent="0.25">
      <c r="D186" t="str">
        <f t="shared" si="10"/>
        <v/>
      </c>
      <c r="F186" t="str">
        <f t="shared" ca="1" si="11"/>
        <v/>
      </c>
    </row>
    <row r="187" spans="4:6" ht="15" customHeight="1" x14ac:dyDescent="0.25">
      <c r="D187" t="str">
        <f t="shared" si="10"/>
        <v/>
      </c>
      <c r="F187" t="str">
        <f t="shared" ca="1" si="11"/>
        <v/>
      </c>
    </row>
    <row r="188" spans="4:6" ht="15" customHeight="1" x14ac:dyDescent="0.25">
      <c r="D188" t="str">
        <f t="shared" si="10"/>
        <v/>
      </c>
      <c r="F188" t="str">
        <f t="shared" ca="1" si="11"/>
        <v/>
      </c>
    </row>
    <row r="189" spans="4:6" ht="15" customHeight="1" x14ac:dyDescent="0.25">
      <c r="D189" t="str">
        <f t="shared" si="10"/>
        <v/>
      </c>
      <c r="F189" t="str">
        <f t="shared" ca="1" si="11"/>
        <v/>
      </c>
    </row>
    <row r="190" spans="4:6" ht="15" customHeight="1" x14ac:dyDescent="0.25">
      <c r="D190" t="str">
        <f t="shared" si="10"/>
        <v/>
      </c>
      <c r="F190" t="str">
        <f t="shared" ca="1" si="11"/>
        <v/>
      </c>
    </row>
    <row r="191" spans="4:6" ht="15" customHeight="1" x14ac:dyDescent="0.25">
      <c r="D191" t="str">
        <f t="shared" si="10"/>
        <v/>
      </c>
      <c r="F191" t="str">
        <f t="shared" ca="1" si="11"/>
        <v/>
      </c>
    </row>
    <row r="192" spans="4:6" ht="15" customHeight="1" x14ac:dyDescent="0.25">
      <c r="D192" t="str">
        <f t="shared" si="10"/>
        <v/>
      </c>
      <c r="F192" t="str">
        <f t="shared" ca="1" si="11"/>
        <v/>
      </c>
    </row>
    <row r="193" spans="4:6" ht="15" customHeight="1" x14ac:dyDescent="0.25">
      <c r="D193" t="str">
        <f t="shared" si="10"/>
        <v/>
      </c>
      <c r="F193" t="str">
        <f t="shared" ca="1" si="11"/>
        <v/>
      </c>
    </row>
    <row r="194" spans="4:6" ht="15" customHeight="1" x14ac:dyDescent="0.25">
      <c r="D194" t="str">
        <f t="shared" si="10"/>
        <v/>
      </c>
      <c r="F194" t="str">
        <f t="shared" ca="1" si="11"/>
        <v/>
      </c>
    </row>
    <row r="195" spans="4:6" ht="15" customHeight="1" x14ac:dyDescent="0.25">
      <c r="D195" t="str">
        <f t="shared" si="10"/>
        <v/>
      </c>
      <c r="F195" t="str">
        <f t="shared" ca="1" si="11"/>
        <v/>
      </c>
    </row>
    <row r="196" spans="4:6" ht="15" customHeight="1" x14ac:dyDescent="0.25">
      <c r="D196" t="str">
        <f t="shared" ref="D196:D200" si="12">IF(A196="","",MAX(0,B196-C196))</f>
        <v/>
      </c>
      <c r="F196" t="str">
        <f t="shared" ref="F196:F200" ca="1" si="13">IF(A196="","",IFERROR(D196/MAX(1,DATEDIF(TODAY(),E196,"m")),D196))</f>
        <v/>
      </c>
    </row>
    <row r="197" spans="4:6" ht="15" customHeight="1" x14ac:dyDescent="0.25">
      <c r="D197" t="str">
        <f t="shared" si="12"/>
        <v/>
      </c>
      <c r="F197" t="str">
        <f t="shared" ca="1" si="13"/>
        <v/>
      </c>
    </row>
    <row r="198" spans="4:6" ht="15" customHeight="1" x14ac:dyDescent="0.25">
      <c r="D198" t="str">
        <f t="shared" si="12"/>
        <v/>
      </c>
      <c r="F198" t="str">
        <f t="shared" ca="1" si="13"/>
        <v/>
      </c>
    </row>
    <row r="199" spans="4:6" ht="15" customHeight="1" x14ac:dyDescent="0.25">
      <c r="D199" t="str">
        <f t="shared" si="12"/>
        <v/>
      </c>
      <c r="F199" t="str">
        <f t="shared" ca="1" si="13"/>
        <v/>
      </c>
    </row>
    <row r="200" spans="4:6" ht="15" customHeight="1" x14ac:dyDescent="0.25">
      <c r="D200" t="str">
        <f t="shared" si="12"/>
        <v/>
      </c>
      <c r="F200" t="str">
        <f t="shared" ca="1" si="13"/>
        <v/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Categories!$I$2:$I$5</xm:f>
          </x14:formula1>
          <x14:formula2>
            <xm:f>0</xm:f>
          </x14:formula2>
          <xm:sqref>G4:G200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0"/>
  <sheetViews>
    <sheetView zoomScaleNormal="100" workbookViewId="0"/>
  </sheetViews>
  <sheetFormatPr defaultColWidth="8.6640625" defaultRowHeight="13.2" x14ac:dyDescent="0.25"/>
  <cols>
    <col min="1" max="9" width="17" customWidth="1"/>
    <col min="10" max="10" width="28" customWidth="1"/>
  </cols>
  <sheetData>
    <row r="1" spans="1:26" ht="19.5" customHeight="1" x14ac:dyDescent="0.25">
      <c r="A1" s="22" t="s">
        <v>126</v>
      </c>
      <c r="B1" s="22"/>
      <c r="C1" s="22"/>
      <c r="D1" s="22"/>
      <c r="E1" s="22"/>
      <c r="F1" s="22"/>
      <c r="G1" s="22"/>
      <c r="H1" s="22"/>
      <c r="I1" s="22"/>
      <c r="J1" s="2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75" customHeight="1" x14ac:dyDescent="0.25">
      <c r="A3" s="3" t="s">
        <v>32</v>
      </c>
      <c r="B3" s="3" t="s">
        <v>127</v>
      </c>
      <c r="C3" s="3" t="s">
        <v>128</v>
      </c>
      <c r="D3" s="3" t="s">
        <v>5</v>
      </c>
      <c r="E3" s="3" t="s">
        <v>7</v>
      </c>
      <c r="F3" s="3" t="s">
        <v>8</v>
      </c>
      <c r="G3" s="3" t="s">
        <v>129</v>
      </c>
      <c r="H3" s="3" t="s">
        <v>6</v>
      </c>
      <c r="I3" s="3" t="s">
        <v>130</v>
      </c>
      <c r="J3" s="3" t="s">
        <v>38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 t="s">
        <v>81</v>
      </c>
      <c r="B4" s="1">
        <f>SUMIFS(Income!$F$4:$F$200,Income!$B$4:$B$200,$A4,Income!$G$4:$G$200,"Received")</f>
        <v>1650000</v>
      </c>
      <c r="C4" s="1">
        <f>SUMIFS(Expenses!$F$4:$F$500,Expenses!$B$4:$B$500,$A4,Expenses!$H$4:$H$500,"Paid")</f>
        <v>640000</v>
      </c>
      <c r="D4" s="1">
        <f t="shared" ref="D4:D15" si="0">B4-C4</f>
        <v>1010000</v>
      </c>
      <c r="E4" s="1">
        <f>SUMIFS(Savings!$D$4:$D$200,Savings!$B$4:$B$200,$A4,Savings!$F$4:$F$200,"Completed")</f>
        <v>300000</v>
      </c>
      <c r="F4" s="1">
        <f>SUMIFS(Loans!$H$4:$H$200,Loans!$G$4:$G$200,$A4,Loans!$I$4:$I$200,"Paid")</f>
        <v>50000</v>
      </c>
      <c r="G4" s="1">
        <f>Budget!$B$17</f>
        <v>740000</v>
      </c>
      <c r="H4" s="1">
        <f t="shared" ref="H4:H15" si="1">G4-C4</f>
        <v>100000</v>
      </c>
      <c r="I4" s="1">
        <f t="shared" ref="I4:I15" si="2">IFERROR(E4/B4,0)</f>
        <v>0.18181818181818182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 t="s">
        <v>2</v>
      </c>
      <c r="B5" s="1">
        <f>SUMIFS(Income!$F$4:$F$200,Income!$B$4:$B$200,$A5,Income!$G$4:$G$200,"Received")</f>
        <v>1700000</v>
      </c>
      <c r="C5" s="1">
        <f>SUMIFS(Expenses!$F$4:$F$500,Expenses!$B$4:$B$500,$A5,Expenses!$H$4:$H$500,"Paid")</f>
        <v>674000</v>
      </c>
      <c r="D5" s="1">
        <f t="shared" si="0"/>
        <v>1026000</v>
      </c>
      <c r="E5" s="1">
        <f>SUMIFS(Savings!$D$4:$D$200,Savings!$B$4:$B$200,$A5,Savings!$F$4:$F$200,"Completed")</f>
        <v>300000</v>
      </c>
      <c r="F5" s="1">
        <f>SUMIFS(Loans!$H$4:$H$200,Loans!$G$4:$G$200,$A5,Loans!$I$4:$I$200,"Paid")</f>
        <v>50000</v>
      </c>
      <c r="G5" s="1">
        <f>Budget!$B$17</f>
        <v>740000</v>
      </c>
      <c r="H5" s="1">
        <f t="shared" si="1"/>
        <v>66000</v>
      </c>
      <c r="I5" s="1">
        <f t="shared" si="2"/>
        <v>0.17647058823529413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 t="s">
        <v>82</v>
      </c>
      <c r="B6" s="1">
        <f>SUMIFS(Income!$F$4:$F$200,Income!$B$4:$B$200,$A6,Income!$G$4:$G$200,"Received")</f>
        <v>0</v>
      </c>
      <c r="C6" s="1">
        <f>SUMIFS(Expenses!$F$4:$F$500,Expenses!$B$4:$B$500,$A6,Expenses!$H$4:$H$500,"Paid")</f>
        <v>0</v>
      </c>
      <c r="D6" s="1">
        <f t="shared" si="0"/>
        <v>0</v>
      </c>
      <c r="E6" s="1">
        <f>SUMIFS(Savings!$D$4:$D$200,Savings!$B$4:$B$200,$A6,Savings!$F$4:$F$200,"Completed")</f>
        <v>0</v>
      </c>
      <c r="F6" s="1">
        <f>SUMIFS(Loans!$H$4:$H$200,Loans!$G$4:$G$200,$A6,Loans!$I$4:$I$200,"Paid")</f>
        <v>0</v>
      </c>
      <c r="G6" s="1">
        <f>Budget!$B$17</f>
        <v>740000</v>
      </c>
      <c r="H6" s="1">
        <f t="shared" si="1"/>
        <v>740000</v>
      </c>
      <c r="I6" s="1">
        <f t="shared" si="2"/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 t="s">
        <v>83</v>
      </c>
      <c r="B7" s="1">
        <f>SUMIFS(Income!$F$4:$F$200,Income!$B$4:$B$200,$A7,Income!$G$4:$G$200,"Received")</f>
        <v>0</v>
      </c>
      <c r="C7" s="1">
        <f>SUMIFS(Expenses!$F$4:$F$500,Expenses!$B$4:$B$500,$A7,Expenses!$H$4:$H$500,"Paid")</f>
        <v>0</v>
      </c>
      <c r="D7" s="1">
        <f t="shared" si="0"/>
        <v>0</v>
      </c>
      <c r="E7" s="1">
        <f>SUMIFS(Savings!$D$4:$D$200,Savings!$B$4:$B$200,$A7,Savings!$F$4:$F$200,"Completed")</f>
        <v>0</v>
      </c>
      <c r="F7" s="1">
        <f>SUMIFS(Loans!$H$4:$H$200,Loans!$G$4:$G$200,$A7,Loans!$I$4:$I$200,"Paid")</f>
        <v>0</v>
      </c>
      <c r="G7" s="1">
        <f>Budget!$B$17</f>
        <v>740000</v>
      </c>
      <c r="H7" s="1">
        <f t="shared" si="1"/>
        <v>740000</v>
      </c>
      <c r="I7" s="1">
        <f t="shared" si="2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 t="s">
        <v>84</v>
      </c>
      <c r="B8" s="1">
        <f>SUMIFS(Income!$F$4:$F$200,Income!$B$4:$B$200,$A8,Income!$G$4:$G$200,"Received")</f>
        <v>0</v>
      </c>
      <c r="C8" s="1">
        <f>SUMIFS(Expenses!$F$4:$F$500,Expenses!$B$4:$B$500,$A8,Expenses!$H$4:$H$500,"Paid")</f>
        <v>0</v>
      </c>
      <c r="D8" s="1">
        <f t="shared" si="0"/>
        <v>0</v>
      </c>
      <c r="E8" s="1">
        <f>SUMIFS(Savings!$D$4:$D$200,Savings!$B$4:$B$200,$A8,Savings!$F$4:$F$200,"Completed")</f>
        <v>0</v>
      </c>
      <c r="F8" s="1">
        <f>SUMIFS(Loans!$H$4:$H$200,Loans!$G$4:$G$200,$A8,Loans!$I$4:$I$200,"Paid")</f>
        <v>0</v>
      </c>
      <c r="G8" s="1">
        <f>Budget!$B$17</f>
        <v>740000</v>
      </c>
      <c r="H8" s="1">
        <f t="shared" si="1"/>
        <v>740000</v>
      </c>
      <c r="I8" s="1">
        <f t="shared" si="2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 t="s">
        <v>85</v>
      </c>
      <c r="B9" s="1">
        <f>SUMIFS(Income!$F$4:$F$200,Income!$B$4:$B$200,$A9,Income!$G$4:$G$200,"Received")</f>
        <v>0</v>
      </c>
      <c r="C9" s="1">
        <f>SUMIFS(Expenses!$F$4:$F$500,Expenses!$B$4:$B$500,$A9,Expenses!$H$4:$H$500,"Paid")</f>
        <v>0</v>
      </c>
      <c r="D9" s="1">
        <f t="shared" si="0"/>
        <v>0</v>
      </c>
      <c r="E9" s="1">
        <f>SUMIFS(Savings!$D$4:$D$200,Savings!$B$4:$B$200,$A9,Savings!$F$4:$F$200,"Completed")</f>
        <v>0</v>
      </c>
      <c r="F9" s="1">
        <f>SUMIFS(Loans!$H$4:$H$200,Loans!$G$4:$G$200,$A9,Loans!$I$4:$I$200,"Paid")</f>
        <v>0</v>
      </c>
      <c r="G9" s="1">
        <f>Budget!$B$17</f>
        <v>740000</v>
      </c>
      <c r="H9" s="1">
        <f t="shared" si="1"/>
        <v>740000</v>
      </c>
      <c r="I9" s="1">
        <f t="shared" si="2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 t="s">
        <v>86</v>
      </c>
      <c r="B10" s="1">
        <f>SUMIFS(Income!$F$4:$F$200,Income!$B$4:$B$200,$A10,Income!$G$4:$G$200,"Received")</f>
        <v>0</v>
      </c>
      <c r="C10" s="1">
        <f>SUMIFS(Expenses!$F$4:$F$500,Expenses!$B$4:$B$500,$A10,Expenses!$H$4:$H$500,"Paid")</f>
        <v>0</v>
      </c>
      <c r="D10" s="1">
        <f t="shared" si="0"/>
        <v>0</v>
      </c>
      <c r="E10" s="1">
        <f>SUMIFS(Savings!$D$4:$D$200,Savings!$B$4:$B$200,$A10,Savings!$F$4:$F$200,"Completed")</f>
        <v>0</v>
      </c>
      <c r="F10" s="1">
        <f>SUMIFS(Loans!$H$4:$H$200,Loans!$G$4:$G$200,$A10,Loans!$I$4:$I$200,"Paid")</f>
        <v>0</v>
      </c>
      <c r="G10" s="1">
        <f>Budget!$B$17</f>
        <v>740000</v>
      </c>
      <c r="H10" s="1">
        <f t="shared" si="1"/>
        <v>740000</v>
      </c>
      <c r="I10" s="1">
        <f t="shared" si="2"/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 t="s">
        <v>87</v>
      </c>
      <c r="B11" s="1">
        <f>SUMIFS(Income!$F$4:$F$200,Income!$B$4:$B$200,$A11,Income!$G$4:$G$200,"Received")</f>
        <v>0</v>
      </c>
      <c r="C11" s="1">
        <f>SUMIFS(Expenses!$F$4:$F$500,Expenses!$B$4:$B$500,$A11,Expenses!$H$4:$H$500,"Paid")</f>
        <v>0</v>
      </c>
      <c r="D11" s="1">
        <f t="shared" si="0"/>
        <v>0</v>
      </c>
      <c r="E11" s="1">
        <f>SUMIFS(Savings!$D$4:$D$200,Savings!$B$4:$B$200,$A11,Savings!$F$4:$F$200,"Completed")</f>
        <v>0</v>
      </c>
      <c r="F11" s="1">
        <f>SUMIFS(Loans!$H$4:$H$200,Loans!$G$4:$G$200,$A11,Loans!$I$4:$I$200,"Paid")</f>
        <v>0</v>
      </c>
      <c r="G11" s="1">
        <f>Budget!$B$17</f>
        <v>740000</v>
      </c>
      <c r="H11" s="1">
        <f t="shared" si="1"/>
        <v>740000</v>
      </c>
      <c r="I11" s="1">
        <f t="shared" si="2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 t="s">
        <v>88</v>
      </c>
      <c r="B12" s="1">
        <f>SUMIFS(Income!$F$4:$F$200,Income!$B$4:$B$200,$A12,Income!$G$4:$G$200,"Received")</f>
        <v>0</v>
      </c>
      <c r="C12" s="1">
        <f>SUMIFS(Expenses!$F$4:$F$500,Expenses!$B$4:$B$500,$A12,Expenses!$H$4:$H$500,"Paid")</f>
        <v>0</v>
      </c>
      <c r="D12" s="1">
        <f t="shared" si="0"/>
        <v>0</v>
      </c>
      <c r="E12" s="1">
        <f>SUMIFS(Savings!$D$4:$D$200,Savings!$B$4:$B$200,$A12,Savings!$F$4:$F$200,"Completed")</f>
        <v>0</v>
      </c>
      <c r="F12" s="1">
        <f>SUMIFS(Loans!$H$4:$H$200,Loans!$G$4:$G$200,$A12,Loans!$I$4:$I$200,"Paid")</f>
        <v>0</v>
      </c>
      <c r="G12" s="1">
        <f>Budget!$B$17</f>
        <v>740000</v>
      </c>
      <c r="H12" s="1">
        <f t="shared" si="1"/>
        <v>740000</v>
      </c>
      <c r="I12" s="1">
        <f t="shared" si="2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 t="s">
        <v>89</v>
      </c>
      <c r="B13" s="1">
        <f>SUMIFS(Income!$F$4:$F$200,Income!$B$4:$B$200,$A13,Income!$G$4:$G$200,"Received")</f>
        <v>0</v>
      </c>
      <c r="C13" s="1">
        <f>SUMIFS(Expenses!$F$4:$F$500,Expenses!$B$4:$B$500,$A13,Expenses!$H$4:$H$500,"Paid")</f>
        <v>0</v>
      </c>
      <c r="D13" s="1">
        <f t="shared" si="0"/>
        <v>0</v>
      </c>
      <c r="E13" s="1">
        <f>SUMIFS(Savings!$D$4:$D$200,Savings!$B$4:$B$200,$A13,Savings!$F$4:$F$200,"Completed")</f>
        <v>0</v>
      </c>
      <c r="F13" s="1">
        <f>SUMIFS(Loans!$H$4:$H$200,Loans!$G$4:$G$200,$A13,Loans!$I$4:$I$200,"Paid")</f>
        <v>0</v>
      </c>
      <c r="G13" s="1">
        <f>Budget!$B$17</f>
        <v>740000</v>
      </c>
      <c r="H13" s="1">
        <f t="shared" si="1"/>
        <v>740000</v>
      </c>
      <c r="I13" s="1">
        <f t="shared" si="2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 t="s">
        <v>90</v>
      </c>
      <c r="B14" s="1">
        <f>SUMIFS(Income!$F$4:$F$200,Income!$B$4:$B$200,$A14,Income!$G$4:$G$200,"Received")</f>
        <v>0</v>
      </c>
      <c r="C14" s="1">
        <f>SUMIFS(Expenses!$F$4:$F$500,Expenses!$B$4:$B$500,$A14,Expenses!$H$4:$H$500,"Paid")</f>
        <v>0</v>
      </c>
      <c r="D14" s="1">
        <f t="shared" si="0"/>
        <v>0</v>
      </c>
      <c r="E14" s="1">
        <f>SUMIFS(Savings!$D$4:$D$200,Savings!$B$4:$B$200,$A14,Savings!$F$4:$F$200,"Completed")</f>
        <v>0</v>
      </c>
      <c r="F14" s="1">
        <f>SUMIFS(Loans!$H$4:$H$200,Loans!$G$4:$G$200,$A14,Loans!$I$4:$I$200,"Paid")</f>
        <v>0</v>
      </c>
      <c r="G14" s="1">
        <f>Budget!$B$17</f>
        <v>740000</v>
      </c>
      <c r="H14" s="1">
        <f t="shared" si="1"/>
        <v>740000</v>
      </c>
      <c r="I14" s="1">
        <f t="shared" si="2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 t="s">
        <v>91</v>
      </c>
      <c r="B15" s="1">
        <f>SUMIFS(Income!$F$4:$F$200,Income!$B$4:$B$200,$A15,Income!$G$4:$G$200,"Received")</f>
        <v>0</v>
      </c>
      <c r="C15" s="1">
        <f>SUMIFS(Expenses!$F$4:$F$500,Expenses!$B$4:$B$500,$A15,Expenses!$H$4:$H$500,"Paid")</f>
        <v>0</v>
      </c>
      <c r="D15" s="1">
        <f t="shared" si="0"/>
        <v>0</v>
      </c>
      <c r="E15" s="1">
        <f>SUMIFS(Savings!$D$4:$D$200,Savings!$B$4:$B$200,$A15,Savings!$F$4:$F$200,"Completed")</f>
        <v>0</v>
      </c>
      <c r="F15" s="1">
        <f>SUMIFS(Loans!$H$4:$H$200,Loans!$G$4:$G$200,$A15,Loans!$I$4:$I$200,"Paid")</f>
        <v>0</v>
      </c>
      <c r="G15" s="1">
        <f>Budget!$B$17</f>
        <v>740000</v>
      </c>
      <c r="H15" s="1">
        <f t="shared" si="1"/>
        <v>740000</v>
      </c>
      <c r="I15" s="1">
        <f t="shared" si="2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60"/>
  <sheetViews>
    <sheetView zoomScaleNormal="100" workbookViewId="0"/>
  </sheetViews>
  <sheetFormatPr defaultColWidth="8.6640625" defaultRowHeight="13.2" x14ac:dyDescent="0.25"/>
  <cols>
    <col min="1" max="11" width="19" customWidth="1"/>
  </cols>
  <sheetData>
    <row r="1" spans="1:26" ht="15" customHeight="1" x14ac:dyDescent="0.25">
      <c r="A1" s="3" t="s">
        <v>131</v>
      </c>
      <c r="B1" s="1"/>
      <c r="C1" s="3" t="s">
        <v>132</v>
      </c>
      <c r="D1" s="1"/>
      <c r="E1" s="3" t="s">
        <v>133</v>
      </c>
      <c r="F1" s="1"/>
      <c r="G1" s="3" t="s">
        <v>37</v>
      </c>
      <c r="H1" s="1"/>
      <c r="I1" s="3" t="s">
        <v>134</v>
      </c>
      <c r="J1" s="1"/>
      <c r="K1" s="3" t="s">
        <v>135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 t="s">
        <v>39</v>
      </c>
      <c r="B2" s="1"/>
      <c r="C2" s="1" t="s">
        <v>12</v>
      </c>
      <c r="D2" s="1"/>
      <c r="E2" s="1" t="s">
        <v>55</v>
      </c>
      <c r="F2" s="1"/>
      <c r="G2" s="1" t="s">
        <v>44</v>
      </c>
      <c r="H2" s="1"/>
      <c r="I2" s="1" t="s">
        <v>122</v>
      </c>
      <c r="J2" s="1"/>
      <c r="K2" s="1" t="s">
        <v>81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 t="s">
        <v>45</v>
      </c>
      <c r="B3" s="1"/>
      <c r="C3" s="1" t="s">
        <v>13</v>
      </c>
      <c r="D3" s="1"/>
      <c r="E3" s="1" t="s">
        <v>63</v>
      </c>
      <c r="F3" s="1"/>
      <c r="G3" s="1" t="s">
        <v>42</v>
      </c>
      <c r="H3" s="1"/>
      <c r="I3" s="1" t="s">
        <v>119</v>
      </c>
      <c r="J3" s="1"/>
      <c r="K3" s="1" t="s">
        <v>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 t="s">
        <v>136</v>
      </c>
      <c r="B4" s="1"/>
      <c r="C4" s="1" t="s">
        <v>14</v>
      </c>
      <c r="D4" s="1"/>
      <c r="E4" s="1" t="s">
        <v>61</v>
      </c>
      <c r="F4" s="1"/>
      <c r="G4" s="1" t="s">
        <v>56</v>
      </c>
      <c r="H4" s="1"/>
      <c r="I4" s="1" t="s">
        <v>100</v>
      </c>
      <c r="J4" s="1"/>
      <c r="K4" s="1" t="s">
        <v>82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 t="s">
        <v>137</v>
      </c>
      <c r="B5" s="1"/>
      <c r="C5" s="1" t="s">
        <v>15</v>
      </c>
      <c r="D5" s="1"/>
      <c r="E5" s="1" t="s">
        <v>138</v>
      </c>
      <c r="F5" s="1"/>
      <c r="G5" s="1" t="s">
        <v>139</v>
      </c>
      <c r="H5" s="1"/>
      <c r="I5" s="1" t="s">
        <v>140</v>
      </c>
      <c r="J5" s="1"/>
      <c r="K5" s="1" t="s">
        <v>83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 t="s">
        <v>141</v>
      </c>
      <c r="B6" s="1"/>
      <c r="C6" s="1" t="s">
        <v>16</v>
      </c>
      <c r="D6" s="1"/>
      <c r="E6" s="1" t="s">
        <v>142</v>
      </c>
      <c r="F6" s="1"/>
      <c r="G6" s="1" t="s">
        <v>100</v>
      </c>
      <c r="H6" s="1"/>
      <c r="I6" s="1"/>
      <c r="J6" s="1"/>
      <c r="K6" s="1" t="s">
        <v>84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 t="s">
        <v>143</v>
      </c>
      <c r="B7" s="1"/>
      <c r="C7" s="1" t="s">
        <v>17</v>
      </c>
      <c r="D7" s="1"/>
      <c r="E7" s="1" t="s">
        <v>144</v>
      </c>
      <c r="F7" s="1"/>
      <c r="G7" s="1" t="s">
        <v>145</v>
      </c>
      <c r="H7" s="1"/>
      <c r="I7" s="1"/>
      <c r="J7" s="1"/>
      <c r="K7" s="1" t="s">
        <v>85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1"/>
      <c r="C8" s="1" t="s">
        <v>18</v>
      </c>
      <c r="D8" s="1"/>
      <c r="E8" s="1"/>
      <c r="F8" s="1"/>
      <c r="G8" s="1" t="s">
        <v>146</v>
      </c>
      <c r="H8" s="1"/>
      <c r="I8" s="1"/>
      <c r="J8" s="1"/>
      <c r="K8" s="1" t="s">
        <v>86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1"/>
      <c r="C9" s="1" t="s">
        <v>19</v>
      </c>
      <c r="D9" s="1"/>
      <c r="E9" s="1"/>
      <c r="F9" s="1"/>
      <c r="G9" s="1"/>
      <c r="H9" s="1"/>
      <c r="I9" s="1"/>
      <c r="J9" s="1"/>
      <c r="K9" s="1" t="s">
        <v>87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"/>
      <c r="C10" s="1" t="s">
        <v>20</v>
      </c>
      <c r="D10" s="1"/>
      <c r="E10" s="1"/>
      <c r="F10" s="1"/>
      <c r="G10" s="1"/>
      <c r="H10" s="1"/>
      <c r="I10" s="1"/>
      <c r="J10" s="1"/>
      <c r="K10" s="1" t="s">
        <v>88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1"/>
      <c r="C11" s="1" t="s">
        <v>21</v>
      </c>
      <c r="D11" s="1"/>
      <c r="E11" s="1"/>
      <c r="F11" s="1"/>
      <c r="G11" s="1"/>
      <c r="H11" s="1"/>
      <c r="I11" s="1"/>
      <c r="J11" s="1"/>
      <c r="K11" s="1" t="s">
        <v>89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1"/>
      <c r="C12" s="1" t="s">
        <v>22</v>
      </c>
      <c r="D12" s="1"/>
      <c r="E12" s="1"/>
      <c r="F12" s="1"/>
      <c r="G12" s="1"/>
      <c r="H12" s="1"/>
      <c r="I12" s="1"/>
      <c r="J12" s="1"/>
      <c r="K12" s="1" t="s">
        <v>90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1"/>
      <c r="C13" s="1" t="s">
        <v>23</v>
      </c>
      <c r="D13" s="1"/>
      <c r="E13" s="1"/>
      <c r="F13" s="1"/>
      <c r="G13" s="1"/>
      <c r="H13" s="1"/>
      <c r="I13" s="1"/>
      <c r="J13" s="1"/>
      <c r="K13" s="1" t="s">
        <v>91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"/>
      <c r="C14" s="1" t="s">
        <v>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60"/>
  <sheetViews>
    <sheetView zoomScaleNormal="100" workbookViewId="0"/>
  </sheetViews>
  <sheetFormatPr defaultColWidth="8.6640625" defaultRowHeight="13.2" x14ac:dyDescent="0.25"/>
  <cols>
    <col min="1" max="1" width="26" customWidth="1"/>
    <col min="2" max="2" width="80" customWidth="1"/>
    <col min="3" max="6" width="26" customWidth="1"/>
  </cols>
  <sheetData>
    <row r="1" spans="1:26" ht="19.5" customHeight="1" x14ac:dyDescent="0.25">
      <c r="A1" s="22" t="s">
        <v>147</v>
      </c>
      <c r="B1" s="22"/>
      <c r="C1" s="22"/>
      <c r="D1" s="22"/>
      <c r="E1" s="22"/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75" customHeight="1" x14ac:dyDescent="0.25">
      <c r="A3" s="11" t="s">
        <v>148</v>
      </c>
      <c r="B3" s="4" t="s">
        <v>149</v>
      </c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1" t="s">
        <v>150</v>
      </c>
      <c r="B4" s="4" t="s">
        <v>151</v>
      </c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1"/>
      <c r="B5" s="4" t="s">
        <v>152</v>
      </c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1"/>
      <c r="B6" s="4" t="s">
        <v>153</v>
      </c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1"/>
      <c r="B7" s="4" t="s">
        <v>154</v>
      </c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1" t="s">
        <v>155</v>
      </c>
      <c r="B8" s="4" t="s">
        <v>156</v>
      </c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1" t="s">
        <v>157</v>
      </c>
      <c r="B9" s="4" t="s">
        <v>158</v>
      </c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1" t="s">
        <v>159</v>
      </c>
      <c r="B10" s="4" t="s">
        <v>160</v>
      </c>
      <c r="C10" s="4"/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5">
      <c r="A11" s="11" t="s">
        <v>161</v>
      </c>
      <c r="B11" s="4" t="s">
        <v>162</v>
      </c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5">
      <c r="A12" s="11" t="s">
        <v>163</v>
      </c>
      <c r="B12" s="4" t="s">
        <v>164</v>
      </c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1"/>
      <c r="B13" s="4"/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1" t="s">
        <v>165</v>
      </c>
      <c r="B14" s="4" t="s">
        <v>166</v>
      </c>
      <c r="C14" s="4"/>
      <c r="D14" s="4"/>
      <c r="E14" s="4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Income</vt:lpstr>
      <vt:lpstr>Expenses</vt:lpstr>
      <vt:lpstr>Budget</vt:lpstr>
      <vt:lpstr>Savings</vt:lpstr>
      <vt:lpstr>Loans</vt:lpstr>
      <vt:lpstr>Goals</vt:lpstr>
      <vt:lpstr>Monthly Summary</vt:lpstr>
      <vt:lpstr>Categories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Onyinyechi Ikea</cp:lastModifiedBy>
  <cp:revision>2</cp:revision>
  <dcterms:created xsi:type="dcterms:W3CDTF">2026-08-07T19:10:09Z</dcterms:created>
  <dcterms:modified xsi:type="dcterms:W3CDTF">2026-08-07T20:45:09Z</dcterms:modified>
  <dc:language>en-US</dc:language>
</cp:coreProperties>
</file>